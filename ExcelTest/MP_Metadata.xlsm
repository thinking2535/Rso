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ork\Rso\Rso\ExcelTest\"/>
    </mc:Choice>
  </mc:AlternateContent>
  <bookViews>
    <workbookView xWindow="1860" yWindow="0" windowWidth="24405" windowHeight="7590" tabRatio="529" firstSheet="3" activeTab="7"/>
  </bookViews>
  <sheets>
    <sheet name="toTXT" sheetId="30" r:id="rId1"/>
    <sheet name="UID규칙" sheetId="32" state="hidden" r:id="rId2"/>
    <sheet name="메모_SnHero_default" sheetId="63" state="hidden" r:id="rId3"/>
    <sheet name="DataFileList" sheetId="69" r:id="rId4"/>
    <sheet name="Data enum" sheetId="64" r:id="rId5"/>
    <sheet name="Config" sheetId="65" r:id="rId6"/>
    <sheet name="userdata_preset" sheetId="66" r:id="rId7"/>
    <sheet name="start_user_building" sheetId="67" r:id="rId8"/>
    <sheet name="league_point_basic" sheetId="68" r:id="rId9"/>
    <sheet name="league_point_tier" sheetId="70" r:id="rId10"/>
    <sheet name="league_point_wincount_weight" sheetId="71" r:id="rId11"/>
    <sheet name="league_point_winratio_weight" sheetId="72" r:id="rId12"/>
    <sheet name="max_pillageable_resource" sheetId="73" r:id="rId13"/>
    <sheet name="pillageable_resource_penalty" sheetId="74" r:id="rId14"/>
    <sheet name="exp" sheetId="75" r:id="rId15"/>
    <sheet name="time_exchange" sheetId="76" r:id="rId16"/>
    <sheet name="ame_exchange" sheetId="77" r:id="rId17"/>
    <sheet name="acid_exchange" sheetId="78" r:id="rId18"/>
    <sheet name="aqua_exchange" sheetId="79" r:id="rId19"/>
    <sheet name="darkmatter_exchange" sheetId="80" r:id="rId20"/>
    <sheet name="shop_building" sheetId="81" r:id="rId21"/>
    <sheet name="shop_recharge_resource" sheetId="82" r:id="rId22"/>
    <sheet name="shop_recharge_topaz" sheetId="83" r:id="rId23"/>
    <sheet name="boost_setting" sheetId="84" r:id="rId24"/>
    <sheet name="boost_recharger" sheetId="85" r:id="rId25"/>
    <sheet name="avatar_parts_promotion" sheetId="86" r:id="rId26"/>
    <sheet name="avatar_parts_arm" sheetId="87" r:id="rId27"/>
    <sheet name="avatar_parts_circuit" sheetId="88" r:id="rId28"/>
    <sheet name="avatar_parts_hbody" sheetId="89" r:id="rId29"/>
    <sheet name="avatar_parts_leg" sheetId="90" r:id="rId30"/>
    <sheet name="avatar_bullet" sheetId="91" r:id="rId31"/>
    <sheet name="avatar_ui_gauge_max" sheetId="92" r:id="rId32"/>
    <sheet name="building_maxquantity" sheetId="93" r:id="rId33"/>
    <sheet name="building_normal" sheetId="94" r:id="rId34"/>
    <sheet name="building_defence" sheetId="95" r:id="rId35"/>
    <sheet name="building_defence_bullet" sheetId="96" r:id="rId36"/>
    <sheet name="building_defence_mode_change" sheetId="97" r:id="rId37"/>
    <sheet name="unit_basic" sheetId="118" r:id="rId38"/>
    <sheet name="unit_grow_up" sheetId="99" r:id="rId39"/>
    <sheet name="upgrade_cost" sheetId="100" r:id="rId40"/>
    <sheet name="support_weapon_basic" sheetId="101" r:id="rId41"/>
    <sheet name="support_weapon_grow_up" sheetId="102" r:id="rId42"/>
    <sheet name="explore" sheetId="103" r:id="rId43"/>
    <sheet name="single_stage_building" sheetId="104" r:id="rId44"/>
    <sheet name="single_stage_setting" sheetId="105" r:id="rId45"/>
  </sheets>
  <definedNames>
    <definedName name="_xlnm.Print_Area" localSheetId="1">UID규칙!#REF!</definedName>
  </definedNames>
  <calcPr calcId="162913"/>
</workbook>
</file>

<file path=xl/calcChain.xml><?xml version="1.0" encoding="utf-8"?>
<calcChain xmlns="http://schemas.openxmlformats.org/spreadsheetml/2006/main">
  <c r="C5" i="75" l="1"/>
  <c r="C6" i="75" s="1"/>
  <c r="C7" i="75" s="1"/>
  <c r="C8" i="75" s="1"/>
  <c r="C9" i="75" s="1"/>
  <c r="C10" i="75" s="1"/>
  <c r="C11" i="75" s="1"/>
  <c r="C12" i="75" s="1"/>
  <c r="C13" i="75" s="1"/>
  <c r="C14" i="75" s="1"/>
  <c r="C15" i="75" s="1"/>
  <c r="C16" i="75" s="1"/>
  <c r="C17" i="75" s="1"/>
  <c r="C18" i="75" s="1"/>
  <c r="C19" i="75" s="1"/>
  <c r="C20" i="75" s="1"/>
  <c r="C21" i="75" s="1"/>
  <c r="C22" i="75" s="1"/>
  <c r="C23" i="75" s="1"/>
  <c r="C24" i="75" s="1"/>
  <c r="C25" i="75" s="1"/>
  <c r="C26" i="75" s="1"/>
  <c r="C27" i="75" s="1"/>
  <c r="C28" i="75" s="1"/>
  <c r="C29" i="75" s="1"/>
  <c r="C30" i="75" s="1"/>
  <c r="C31" i="75" s="1"/>
  <c r="C32" i="75" s="1"/>
  <c r="C33" i="75" s="1"/>
  <c r="C34" i="75" s="1"/>
  <c r="C35" i="75" s="1"/>
  <c r="C36" i="75" s="1"/>
  <c r="C37" i="75" s="1"/>
  <c r="C38" i="75" s="1"/>
  <c r="C39" i="75" s="1"/>
  <c r="C40" i="75" s="1"/>
  <c r="C41" i="75" s="1"/>
  <c r="C42" i="75" s="1"/>
  <c r="C43" i="75" s="1"/>
  <c r="C44" i="75" s="1"/>
  <c r="C45" i="75" s="1"/>
  <c r="C46" i="75" s="1"/>
  <c r="C47" i="75" s="1"/>
  <c r="C48" i="75" s="1"/>
  <c r="C49" i="75" s="1"/>
  <c r="C50" i="75" s="1"/>
  <c r="C51" i="75" s="1"/>
  <c r="C4" i="75"/>
  <c r="C3" i="75"/>
  <c r="C2" i="75"/>
  <c r="A1" i="30" l="1"/>
</calcChain>
</file>

<file path=xl/comments1.xml><?xml version="1.0" encoding="utf-8"?>
<comments xmlns="http://schemas.openxmlformats.org/spreadsheetml/2006/main">
  <authors>
    <author>USER</author>
  </authors>
  <commentList>
    <comment ref="I1" authorId="0" shapeId="0">
      <text>
        <r>
          <rPr>
            <sz val="9"/>
            <color indexed="81"/>
            <rFont val="Tahoma"/>
            <family val="2"/>
          </rPr>
          <t xml:space="preserve">0 = english, 
</t>
        </r>
      </text>
    </comment>
  </commentList>
</comments>
</file>

<file path=xl/sharedStrings.xml><?xml version="1.0" encoding="utf-8"?>
<sst xmlns="http://schemas.openxmlformats.org/spreadsheetml/2006/main" count="9968" uniqueCount="1242">
  <si>
    <t>id</t>
  </si>
  <si>
    <t>UID 규칙</t>
  </si>
  <si>
    <t>일련번호</t>
  </si>
  <si>
    <t>변환할 시트명</t>
    <phoneticPr fontId="3" type="noConversion"/>
  </si>
  <si>
    <t xml:space="preserve"> </t>
    <phoneticPr fontId="3" type="noConversion"/>
  </si>
  <si>
    <t>아이콘</t>
    <phoneticPr fontId="3" type="noConversion"/>
  </si>
  <si>
    <t>공격력</t>
    <phoneticPr fontId="3" type="noConversion"/>
  </si>
  <si>
    <t>캐릭터</t>
  </si>
  <si>
    <r>
      <t xml:space="preserve">클래스명
------------
</t>
    </r>
    <r>
      <rPr>
        <sz val="9"/>
        <color rgb="FFC00000"/>
        <rFont val="맑은 고딕"/>
        <family val="3"/>
        <charset val="129"/>
        <scheme val="minor"/>
      </rPr>
      <t>0: (기사)</t>
    </r>
  </si>
  <si>
    <t>장비아이템</t>
  </si>
  <si>
    <t>무기 : 0
투구 : 1
어깨 : 2
갑옷 : 3
장갑 : 4
신발 : 5
악세서리 : 6</t>
  </si>
  <si>
    <t>종류</t>
  </si>
  <si>
    <t>내용</t>
  </si>
  <si>
    <t>설명</t>
  </si>
  <si>
    <t>id</t>
    <phoneticPr fontId="3" type="noConversion"/>
  </si>
  <si>
    <t>prefab</t>
    <phoneticPr fontId="3" type="noConversion"/>
  </si>
  <si>
    <t>등급
-------------
0 : 일반
1 : 매직
2 : 레어
3 : 유니크
4 : 전설
5 : 신화</t>
  </si>
  <si>
    <t>스킬 인덱스</t>
  </si>
  <si>
    <t>character_Id</t>
  </si>
  <si>
    <t>parts_0</t>
  </si>
  <si>
    <t>parts_1</t>
  </si>
  <si>
    <t>parts_2</t>
  </si>
  <si>
    <t>parts_3</t>
  </si>
  <si>
    <t>parts_4</t>
  </si>
  <si>
    <t>parts_5</t>
  </si>
  <si>
    <t>parts_6</t>
  </si>
  <si>
    <t>캐릭터 아이디</t>
  </si>
  <si>
    <t>무기</t>
  </si>
  <si>
    <t>투구</t>
  </si>
  <si>
    <t>어깨</t>
  </si>
  <si>
    <t>갑옷</t>
  </si>
  <si>
    <t>장갑</t>
  </si>
  <si>
    <t>신발</t>
  </si>
  <si>
    <t>악세서리</t>
  </si>
  <si>
    <t>아이템 미착용 시, 기본으로 장착되어 있는 아이템</t>
    <phoneticPr fontId="3" type="noConversion"/>
  </si>
  <si>
    <t>승리 조건 비율(만분율)</t>
  </si>
  <si>
    <t>battleTime</t>
  </si>
  <si>
    <t>전투 유지 시간(초)</t>
  </si>
  <si>
    <t>matchingAppointLevel</t>
  </si>
  <si>
    <t>매칭 조건 적용 단계(matching 테이블 ID)</t>
  </si>
  <si>
    <t>matchingGroupMinUser</t>
  </si>
  <si>
    <t>매칭 그룹의 최소 허용 인원</t>
  </si>
  <si>
    <t>maxHumanCapacity</t>
  </si>
  <si>
    <t>rechargerMaxCount</t>
  </si>
  <si>
    <t>screenWidth</t>
  </si>
  <si>
    <t>screenHeight</t>
  </si>
  <si>
    <t>defaultLanguage</t>
  </si>
  <si>
    <t>inventoryMaxCount</t>
  </si>
  <si>
    <t>inventoryIncreaseSlotCount</t>
  </si>
  <si>
    <t>inventoryIncreaseNeedTopazCount</t>
  </si>
  <si>
    <t>networkIdleCheckTime</t>
  </si>
  <si>
    <t>chattingLogMaxCount</t>
  </si>
  <si>
    <t>default_amethyst</t>
  </si>
  <si>
    <t>default_acid</t>
  </si>
  <si>
    <t>default_aquajelly</t>
  </si>
  <si>
    <t>default_topaz</t>
  </si>
  <si>
    <t>default_league_point</t>
  </si>
  <si>
    <t>default_user_level</t>
  </si>
  <si>
    <t>default_rechargingstation_count</t>
  </si>
  <si>
    <t>building_group_id</t>
  </si>
  <si>
    <t>desc</t>
  </si>
  <si>
    <t>building_level</t>
  </si>
  <si>
    <t>building_grid_col</t>
  </si>
  <si>
    <t>building_grid_row</t>
  </si>
  <si>
    <t>리차징스테이션1</t>
  </si>
  <si>
    <t>리차징스테이션2</t>
  </si>
  <si>
    <t>CP</t>
  </si>
  <si>
    <t>아메컬렉터</t>
  </si>
  <si>
    <t>애시드컬렉터</t>
  </si>
  <si>
    <t>유니온센터</t>
  </si>
  <si>
    <t>와치타워</t>
  </si>
  <si>
    <t>팩토리</t>
  </si>
  <si>
    <t>spaceplatform</t>
  </si>
  <si>
    <t>explore_dock</t>
  </si>
  <si>
    <t>config</t>
    <phoneticPr fontId="3" type="noConversion"/>
  </si>
  <si>
    <t>userdata_preset</t>
    <phoneticPr fontId="3" type="noConversion"/>
  </si>
  <si>
    <t>start_user_building</t>
    <phoneticPr fontId="3" type="noConversion"/>
  </si>
  <si>
    <t>league_point_basic</t>
    <phoneticPr fontId="3" type="noConversion"/>
  </si>
  <si>
    <t>league_point_tier</t>
  </si>
  <si>
    <t>league_point_wincount_weight</t>
  </si>
  <si>
    <t>league_point_winratio_weight</t>
  </si>
  <si>
    <t>max_pillageable_resource</t>
  </si>
  <si>
    <t>pillageable_resource_penalty</t>
  </si>
  <si>
    <t>exp</t>
    <phoneticPr fontId="3" type="noConversion"/>
  </si>
  <si>
    <t>time_exchange</t>
  </si>
  <si>
    <t>ame_exchange</t>
    <phoneticPr fontId="3" type="noConversion"/>
  </si>
  <si>
    <t>acid_exchange</t>
    <phoneticPr fontId="3" type="noConversion"/>
  </si>
  <si>
    <t>aqua_exchange</t>
    <phoneticPr fontId="3" type="noConversion"/>
  </si>
  <si>
    <t>darkmatter_exchange</t>
    <phoneticPr fontId="3" type="noConversion"/>
  </si>
  <si>
    <t>shop_building</t>
    <phoneticPr fontId="3" type="noConversion"/>
  </si>
  <si>
    <t>shop_recharge_resource</t>
  </si>
  <si>
    <t>shop_recharge_topaz</t>
    <phoneticPr fontId="3" type="noConversion"/>
  </si>
  <si>
    <t>boost_setting</t>
    <phoneticPr fontId="3" type="noConversion"/>
  </si>
  <si>
    <t>boost_recharger</t>
    <phoneticPr fontId="3" type="noConversion"/>
  </si>
  <si>
    <t>avatar_parts_promotion</t>
    <phoneticPr fontId="3" type="noConversion"/>
  </si>
  <si>
    <t>avatar_parts_arm</t>
    <phoneticPr fontId="3" type="noConversion"/>
  </si>
  <si>
    <t>avatar_parts_circuit</t>
    <phoneticPr fontId="3" type="noConversion"/>
  </si>
  <si>
    <t>avatar_parts_hbody</t>
    <phoneticPr fontId="3" type="noConversion"/>
  </si>
  <si>
    <t>avatar_parts_leg</t>
    <phoneticPr fontId="3" type="noConversion"/>
  </si>
  <si>
    <t>avatar_bullet</t>
    <phoneticPr fontId="3" type="noConversion"/>
  </si>
  <si>
    <t>avatar_ui_gauge_max</t>
    <phoneticPr fontId="3" type="noConversion"/>
  </si>
  <si>
    <t>building_maxquantity</t>
    <phoneticPr fontId="3" type="noConversion"/>
  </si>
  <si>
    <t>building_normal</t>
    <phoneticPr fontId="3" type="noConversion"/>
  </si>
  <si>
    <t>building_defence</t>
    <phoneticPr fontId="3" type="noConversion"/>
  </si>
  <si>
    <t>building_defence_bullet</t>
    <phoneticPr fontId="3" type="noConversion"/>
  </si>
  <si>
    <t>building_defence_mode_change</t>
    <phoneticPr fontId="3" type="noConversion"/>
  </si>
  <si>
    <t>unit_basic</t>
    <phoneticPr fontId="3" type="noConversion"/>
  </si>
  <si>
    <t>unit_grow_up</t>
    <phoneticPr fontId="3" type="noConversion"/>
  </si>
  <si>
    <t>support_weapon_basic</t>
    <phoneticPr fontId="3" type="noConversion"/>
  </si>
  <si>
    <t>support_weapon_grow_up</t>
    <phoneticPr fontId="3" type="noConversion"/>
  </si>
  <si>
    <t>explore</t>
    <phoneticPr fontId="3" type="noConversion"/>
  </si>
  <si>
    <t>single_stage_building</t>
    <phoneticPr fontId="3" type="noConversion"/>
  </si>
  <si>
    <t>single_stage_setting</t>
    <phoneticPr fontId="3" type="noConversion"/>
  </si>
  <si>
    <t>NO</t>
    <phoneticPr fontId="3" type="noConversion"/>
  </si>
  <si>
    <t>Data Flie Name</t>
    <phoneticPr fontId="3" type="noConversion"/>
  </si>
  <si>
    <t>Date</t>
    <phoneticPr fontId="3" type="noConversion"/>
  </si>
  <si>
    <t>diff_max</t>
  </si>
  <si>
    <t>win</t>
  </si>
  <si>
    <t>lose</t>
  </si>
  <si>
    <t>league</t>
  </si>
  <si>
    <t>tier</t>
  </si>
  <si>
    <t>league_point</t>
  </si>
  <si>
    <t>degrade_point</t>
  </si>
  <si>
    <t>icon</t>
  </si>
  <si>
    <t>none(아이콘 없음)</t>
  </si>
  <si>
    <t>ensign</t>
  </si>
  <si>
    <t>UI_ico_main_cmn_rank_ensign</t>
  </si>
  <si>
    <t>lieutenant junior</t>
  </si>
  <si>
    <t>UI_ico_main_cmn_rank_LieutenantJ</t>
  </si>
  <si>
    <t>lieutenant</t>
  </si>
  <si>
    <t>UI_ico_main_cmn_rank_Lieutenant</t>
  </si>
  <si>
    <t>commander</t>
  </si>
  <si>
    <t>UI_ico_main_cmn_rank_commander</t>
  </si>
  <si>
    <t>captain</t>
  </si>
  <si>
    <t>UI_ico_main_cmn_rank_captain</t>
  </si>
  <si>
    <t>vice admiral</t>
  </si>
  <si>
    <t>UI_ico_main_cmn_rank_v_admiral</t>
  </si>
  <si>
    <t>admiral</t>
  </si>
  <si>
    <t>UI_ico_main_cmn_rank_admiral</t>
  </si>
  <si>
    <t>count</t>
  </si>
  <si>
    <t>type</t>
  </si>
  <si>
    <t>weight</t>
  </si>
  <si>
    <t>win_ratio</t>
  </si>
  <si>
    <t>cp_level</t>
  </si>
  <si>
    <t>pillageable_ame_ratio</t>
  </si>
  <si>
    <t>pillageable_acid_ratio</t>
  </si>
  <si>
    <t>pillageable_aqua_ratio</t>
  </si>
  <si>
    <t>pillageable_ame_value</t>
  </si>
  <si>
    <t>pillageable_acid_value</t>
  </si>
  <si>
    <t>pillageable_aqua_value</t>
  </si>
  <si>
    <t>cp_level</t>
    <phoneticPr fontId="3" type="noConversion"/>
  </si>
  <si>
    <t>cp_level_deference</t>
  </si>
  <si>
    <t>penalty_ratio</t>
  </si>
  <si>
    <t>level</t>
  </si>
  <si>
    <t>need_exp</t>
  </si>
  <si>
    <t>accumulate_exp</t>
  </si>
  <si>
    <t>time_min</t>
  </si>
  <si>
    <t>time_max</t>
  </si>
  <si>
    <t>topaz_exchange_rate</t>
  </si>
  <si>
    <t>time_type</t>
  </si>
  <si>
    <t>s</t>
  </si>
  <si>
    <t>ame_min</t>
    <phoneticPr fontId="3" type="noConversion"/>
  </si>
  <si>
    <t>ame_max</t>
    <phoneticPr fontId="3" type="noConversion"/>
  </si>
  <si>
    <t>topaz_exchange_rate</t>
    <phoneticPr fontId="3" type="noConversion"/>
  </si>
  <si>
    <t>acid_min</t>
  </si>
  <si>
    <t>acid_max</t>
  </si>
  <si>
    <t>aqua_min</t>
    <phoneticPr fontId="3" type="noConversion"/>
  </si>
  <si>
    <t>aqua_max</t>
    <phoneticPr fontId="3" type="noConversion"/>
  </si>
  <si>
    <t>dark_min</t>
    <phoneticPr fontId="3" type="noConversion"/>
  </si>
  <si>
    <t>dark_max</t>
    <phoneticPr fontId="3" type="noConversion"/>
  </si>
  <si>
    <t>shop_ID</t>
  </si>
  <si>
    <t>bd_group_ID</t>
  </si>
  <si>
    <t>building_cost_type</t>
  </si>
  <si>
    <t>building_cost</t>
  </si>
  <si>
    <t>building_time</t>
  </si>
  <si>
    <t>cost_increase</t>
  </si>
  <si>
    <t>default_quantity</t>
  </si>
  <si>
    <t>text_key</t>
  </si>
  <si>
    <t>shop_type</t>
  </si>
  <si>
    <t>리차징 스테이션</t>
  </si>
  <si>
    <t>nd_ui_lvl1_bd_recharging_station</t>
  </si>
  <si>
    <t>resources</t>
  </si>
  <si>
    <t>m</t>
  </si>
  <si>
    <t>아메시스트 콜렉터</t>
  </si>
  <si>
    <t>nd_ui_lvl1_bd_amecollector</t>
  </si>
  <si>
    <t>애시드 콜렉터</t>
  </si>
  <si>
    <t>nd_ui_lvl1_bd_acidcollector</t>
  </si>
  <si>
    <t>아쿠아젤리 콜렉터</t>
  </si>
  <si>
    <t>nd_ui_lvl1_bd_aquacollector</t>
  </si>
  <si>
    <t>아메시스트 스토리지</t>
  </si>
  <si>
    <t>nd_ui_lvl1_bd_amestorage</t>
  </si>
  <si>
    <t>애시드 스토리지</t>
  </si>
  <si>
    <t>nd_ui_lvl1_bd_acidstorage</t>
  </si>
  <si>
    <t>아쿠아젤리 스토리지</t>
  </si>
  <si>
    <t>nd_ui_lvl1_bd_aquastorage</t>
  </si>
  <si>
    <t>nd_ui_lvl1_bd_factory</t>
  </si>
  <si>
    <t>troops</t>
  </si>
  <si>
    <t>서포트 웨폰 랩</t>
  </si>
  <si>
    <t>nd_ui_lvl1_bd_skilllab</t>
  </si>
  <si>
    <t>아모리</t>
  </si>
  <si>
    <t>nd_ui_lvl1_bd_armory</t>
  </si>
  <si>
    <t>아바타랩</t>
  </si>
  <si>
    <t>nd_ui_lvl1_bd_avatarlab</t>
  </si>
  <si>
    <t>watchtower</t>
  </si>
  <si>
    <t>nd_ui_lvl1_bd_watch_tower</t>
  </si>
  <si>
    <t>defence</t>
  </si>
  <si>
    <t>cannon</t>
  </si>
  <si>
    <t>nd_ui_lvl1_bd_cannon</t>
  </si>
  <si>
    <t>artillery</t>
  </si>
  <si>
    <t>nd_ui_lvl1_bd_artillery</t>
  </si>
  <si>
    <t>turret</t>
  </si>
  <si>
    <t>nd_ui_lvl1_bd_turret</t>
  </si>
  <si>
    <t>plasma_wave</t>
  </si>
  <si>
    <t>nd_ui_lvl1_bd_plasma_wave</t>
  </si>
  <si>
    <t>adv_flame_thrower</t>
  </si>
  <si>
    <t>nd_ui_lvl1_bd_adv_flame_thrower</t>
  </si>
  <si>
    <t>icbm</t>
  </si>
  <si>
    <t>nd_ui_lvl1_bd_icbm</t>
  </si>
  <si>
    <t>paralyzer</t>
  </si>
  <si>
    <t>nd_ui_lvl1_bd_paralyzer</t>
  </si>
  <si>
    <t>giant_taser</t>
  </si>
  <si>
    <t>nd_ui_lvl1_bd_giant_taser</t>
  </si>
  <si>
    <t>infernotower</t>
  </si>
  <si>
    <t>nd_ui_lvl1_bd_infernotower</t>
  </si>
  <si>
    <t>shop_ID</t>
    <phoneticPr fontId="3" type="noConversion"/>
  </si>
  <si>
    <t>!desc</t>
    <phoneticPr fontId="3" type="noConversion"/>
  </si>
  <si>
    <t>type</t>
    <phoneticPr fontId="3" type="noConversion"/>
  </si>
  <si>
    <t>resource_ratio</t>
    <phoneticPr fontId="3" type="noConversion"/>
  </si>
  <si>
    <t>exchange_ratio</t>
    <phoneticPr fontId="3" type="noConversion"/>
  </si>
  <si>
    <t>아메 저장소 20%</t>
    <phoneticPr fontId="3" type="noConversion"/>
  </si>
  <si>
    <t>아메 저장소 50%</t>
    <phoneticPr fontId="3" type="noConversion"/>
  </si>
  <si>
    <t>아메 저장소 100%</t>
    <phoneticPr fontId="3" type="noConversion"/>
  </si>
  <si>
    <t>애시드 저장소 20%</t>
    <phoneticPr fontId="3" type="noConversion"/>
  </si>
  <si>
    <t>애시드 저장소 50%</t>
    <phoneticPr fontId="3" type="noConversion"/>
  </si>
  <si>
    <t>애시드 저장소 100%</t>
    <phoneticPr fontId="3" type="noConversion"/>
  </si>
  <si>
    <t>아쿠아 저장소 20%</t>
    <phoneticPr fontId="3" type="noConversion"/>
  </si>
  <si>
    <t>아쿠아 저장소 50%</t>
    <phoneticPr fontId="3" type="noConversion"/>
  </si>
  <si>
    <t>아쿠아 저장소 100%</t>
    <phoneticPr fontId="3" type="noConversion"/>
  </si>
  <si>
    <t>!desc</t>
  </si>
  <si>
    <t>topaz</t>
  </si>
  <si>
    <t>google_price_ID</t>
  </si>
  <si>
    <t>토파즈 팩 1(1,000\)</t>
  </si>
  <si>
    <t>nd_test_topaz_80</t>
  </si>
  <si>
    <t>토파즈 팩 1(5,000\)</t>
  </si>
  <si>
    <t>nd_test_topaz_500</t>
  </si>
  <si>
    <t>토파즈 팩 1(9,000\)</t>
  </si>
  <si>
    <t xml:space="preserve">nd_test_topaz_1000 </t>
  </si>
  <si>
    <t>building_id</t>
  </si>
  <si>
    <t>bd_group_id</t>
  </si>
  <si>
    <t>boost_time</t>
  </si>
  <si>
    <t>boost_cost</t>
  </si>
  <si>
    <t>boost_ratio</t>
  </si>
  <si>
    <t>limit_cp_level</t>
  </si>
  <si>
    <t>Amethyst Collector</t>
  </si>
  <si>
    <t>h</t>
  </si>
  <si>
    <t>Acid Collector</t>
  </si>
  <si>
    <t>Aquajelly Collector</t>
  </si>
  <si>
    <t>factory</t>
  </si>
  <si>
    <t>support weapon lab</t>
  </si>
  <si>
    <t>building_id</t>
    <phoneticPr fontId="3" type="noConversion"/>
  </si>
  <si>
    <t>user_cp_lv</t>
    <phoneticPr fontId="3" type="noConversion"/>
  </si>
  <si>
    <t>boost_time</t>
    <phoneticPr fontId="3" type="noConversion"/>
  </si>
  <si>
    <t>time_type</t>
    <phoneticPr fontId="3" type="noConversion"/>
  </si>
  <si>
    <t>boost_cost</t>
    <phoneticPr fontId="3" type="noConversion"/>
  </si>
  <si>
    <t>boost_ratio</t>
    <phoneticPr fontId="3" type="noConversion"/>
  </si>
  <si>
    <t>boost_using</t>
    <phoneticPr fontId="3" type="noConversion"/>
  </si>
  <si>
    <t>리차징 스테이션</t>
    <phoneticPr fontId="3" type="noConversion"/>
  </si>
  <si>
    <t>h</t>
    <phoneticPr fontId="3" type="noConversion"/>
  </si>
  <si>
    <t>parts_rank</t>
  </si>
  <si>
    <t>promotion_probability</t>
  </si>
  <si>
    <t>fixed_probability_cost</t>
  </si>
  <si>
    <t>parts_group_id</t>
    <phoneticPr fontId="3" type="noConversion"/>
  </si>
  <si>
    <t>parts</t>
    <phoneticPr fontId="3" type="noConversion"/>
  </si>
  <si>
    <t>rank</t>
    <phoneticPr fontId="3" type="noConversion"/>
  </si>
  <si>
    <t>enchant_lv</t>
    <phoneticPr fontId="3" type="noConversion"/>
  </si>
  <si>
    <t>need_darkmatter</t>
    <phoneticPr fontId="3" type="noConversion"/>
  </si>
  <si>
    <t>upgrade_time</t>
  </si>
  <si>
    <t>avatarlab_level</t>
  </si>
  <si>
    <t>recharging_time</t>
    <phoneticPr fontId="3" type="noConversion"/>
  </si>
  <si>
    <t>skin_name</t>
    <phoneticPr fontId="3" type="noConversion"/>
  </si>
  <si>
    <t>attack_ani</t>
    <phoneticPr fontId="3" type="noConversion"/>
  </si>
  <si>
    <t>hit_timing</t>
    <phoneticPr fontId="3" type="noConversion"/>
  </si>
  <si>
    <t>hit_timing_bullet</t>
    <phoneticPr fontId="3" type="noConversion"/>
  </si>
  <si>
    <t>idle_field_ani</t>
    <phoneticPr fontId="3" type="noConversion"/>
  </si>
  <si>
    <t>idle_garage_ani</t>
    <phoneticPr fontId="3" type="noConversion"/>
  </si>
  <si>
    <t>replace_garage_ani</t>
    <phoneticPr fontId="3" type="noConversion"/>
  </si>
  <si>
    <t>walk_ani</t>
    <phoneticPr fontId="3" type="noConversion"/>
  </si>
  <si>
    <t>attack_event</t>
    <phoneticPr fontId="3" type="noConversion"/>
  </si>
  <si>
    <t>replace_event</t>
    <phoneticPr fontId="3" type="noConversion"/>
  </si>
  <si>
    <t>hp</t>
    <phoneticPr fontId="3" type="noConversion"/>
  </si>
  <si>
    <t>weight</t>
    <phoneticPr fontId="3" type="noConversion"/>
  </si>
  <si>
    <t>attack_range</t>
    <phoneticPr fontId="3" type="noConversion"/>
  </si>
  <si>
    <t>attack_type</t>
    <phoneticPr fontId="3" type="noConversion"/>
  </si>
  <si>
    <t>bullet_ID</t>
    <phoneticPr fontId="3" type="noConversion"/>
  </si>
  <si>
    <t>first_atk_delay</t>
    <phoneticPr fontId="3" type="noConversion"/>
  </si>
  <si>
    <t>attack_speed</t>
    <phoneticPr fontId="3" type="noConversion"/>
  </si>
  <si>
    <t>attack_power</t>
    <phoneticPr fontId="3" type="noConversion"/>
  </si>
  <si>
    <t>text_key</t>
    <phoneticPr fontId="3" type="noConversion"/>
  </si>
  <si>
    <t>upgrade_time_type</t>
    <phoneticPr fontId="3" type="noConversion"/>
  </si>
  <si>
    <t>recharging_time_type</t>
    <phoneticPr fontId="3" type="noConversion"/>
  </si>
  <si>
    <t>arm</t>
    <phoneticPr fontId="3" type="noConversion"/>
  </si>
  <si>
    <t>arm_empty</t>
    <phoneticPr fontId="3" type="noConversion"/>
  </si>
  <si>
    <t>attack_p01</t>
  </si>
  <si>
    <t>idle_field</t>
    <phoneticPr fontId="3" type="noConversion"/>
  </si>
  <si>
    <t>idle_garage</t>
    <phoneticPr fontId="3" type="noConversion"/>
  </si>
  <si>
    <t>replace_arm_garage</t>
  </si>
  <si>
    <t>walk</t>
    <phoneticPr fontId="3" type="noConversion"/>
  </si>
  <si>
    <t>replace_skin</t>
    <phoneticPr fontId="3" type="noConversion"/>
  </si>
  <si>
    <t>melee</t>
    <phoneticPr fontId="3" type="noConversion"/>
  </si>
  <si>
    <t>s</t>
    <phoneticPr fontId="3" type="noConversion"/>
  </si>
  <si>
    <t>nd_ui_img_acard_arm_001</t>
  </si>
  <si>
    <t>arm_p00_00</t>
  </si>
  <si>
    <t>attack_p00</t>
    <phoneticPr fontId="3" type="noConversion"/>
  </si>
  <si>
    <t>attack_p00</t>
  </si>
  <si>
    <t>arm_p00_01</t>
  </si>
  <si>
    <t>arm_p00_02</t>
  </si>
  <si>
    <t>arm_p00_03</t>
  </si>
  <si>
    <t>arm_p00_04</t>
  </si>
  <si>
    <t>arm_p00_05</t>
  </si>
  <si>
    <t>nd_ui_img_acard_arm_002</t>
  </si>
  <si>
    <t>arm_p01_00</t>
  </si>
  <si>
    <t>arm_p01_01</t>
  </si>
  <si>
    <t>arm_p01_02</t>
  </si>
  <si>
    <t>arm_p01_03</t>
  </si>
  <si>
    <t>arm_p01_04</t>
  </si>
  <si>
    <t>arm_p01_05</t>
  </si>
  <si>
    <t>nd_ui_img_acard_arm_003</t>
  </si>
  <si>
    <t>arm_p02_00</t>
  </si>
  <si>
    <t>attack_p02</t>
    <phoneticPr fontId="3" type="noConversion"/>
  </si>
  <si>
    <t>attack_p02</t>
  </si>
  <si>
    <t>range</t>
    <phoneticPr fontId="3" type="noConversion"/>
  </si>
  <si>
    <t>arm_p02_01</t>
  </si>
  <si>
    <t>arm_p02_02</t>
  </si>
  <si>
    <t>arm_p02_03</t>
  </si>
  <si>
    <t>arm_p02_04</t>
  </si>
  <si>
    <t>arm_p02_05</t>
  </si>
  <si>
    <t>nd_ui_img_acard_arm_007</t>
  </si>
  <si>
    <t>arm_p06_00</t>
    <phoneticPr fontId="3" type="noConversion"/>
  </si>
  <si>
    <t>attack_p06</t>
    <phoneticPr fontId="3" type="noConversion"/>
  </si>
  <si>
    <t>missile</t>
    <phoneticPr fontId="3" type="noConversion"/>
  </si>
  <si>
    <t>arm_p06_01</t>
    <phoneticPr fontId="3" type="noConversion"/>
  </si>
  <si>
    <t>arm_p06_02</t>
    <phoneticPr fontId="3" type="noConversion"/>
  </si>
  <si>
    <t>arm_p06_03</t>
    <phoneticPr fontId="3" type="noConversion"/>
  </si>
  <si>
    <t>arm_p06_04</t>
    <phoneticPr fontId="3" type="noConversion"/>
  </si>
  <si>
    <t>arm_p06_05</t>
    <phoneticPr fontId="3" type="noConversion"/>
  </si>
  <si>
    <t>skill_type</t>
    <phoneticPr fontId="3" type="noConversion"/>
  </si>
  <si>
    <t>circuit_replace_up</t>
    <phoneticPr fontId="3" type="noConversion"/>
  </si>
  <si>
    <t>circuit_replace_down</t>
    <phoneticPr fontId="3" type="noConversion"/>
  </si>
  <si>
    <t>circuit_replace_idle</t>
    <phoneticPr fontId="3" type="noConversion"/>
  </si>
  <si>
    <t>skill_range</t>
  </si>
  <si>
    <t>skill_time</t>
  </si>
  <si>
    <t>skill_value</t>
  </si>
  <si>
    <t>upgrade_time_type</t>
  </si>
  <si>
    <t>recharging_time_type</t>
  </si>
  <si>
    <t>skill_time_type</t>
    <phoneticPr fontId="3" type="noConversion"/>
  </si>
  <si>
    <t>circuit</t>
    <phoneticPr fontId="3" type="noConversion"/>
  </si>
  <si>
    <t>default</t>
    <phoneticPr fontId="3" type="noConversion"/>
  </si>
  <si>
    <t>replace_core_garage_up</t>
    <phoneticPr fontId="3" type="noConversion"/>
  </si>
  <si>
    <t>replace_core_garage_down</t>
    <phoneticPr fontId="3" type="noConversion"/>
  </si>
  <si>
    <t>replace_core_garage</t>
    <phoneticPr fontId="3" type="noConversion"/>
  </si>
  <si>
    <t>nd_ui_img_acard_circuit_002</t>
    <phoneticPr fontId="3" type="noConversion"/>
  </si>
  <si>
    <t>circuit_002</t>
    <phoneticPr fontId="3" type="noConversion"/>
  </si>
  <si>
    <t>nd_ui_img_acard_circuit_004</t>
    <phoneticPr fontId="3" type="noConversion"/>
  </si>
  <si>
    <t>move_speed</t>
    <phoneticPr fontId="3" type="noConversion"/>
  </si>
  <si>
    <t>circuit_004</t>
    <phoneticPr fontId="3" type="noConversion"/>
  </si>
  <si>
    <t>nd_ui_img_acard_circuit_001</t>
    <phoneticPr fontId="3" type="noConversion"/>
  </si>
  <si>
    <t>defence</t>
    <phoneticPr fontId="3" type="noConversion"/>
  </si>
  <si>
    <t>circuit_001</t>
    <phoneticPr fontId="3" type="noConversion"/>
  </si>
  <si>
    <t>destroy_ani</t>
    <phoneticPr fontId="3" type="noConversion"/>
  </si>
  <si>
    <t>weightcap</t>
    <phoneticPr fontId="3" type="noConversion"/>
  </si>
  <si>
    <t>optime</t>
    <phoneticPr fontId="3" type="noConversion"/>
  </si>
  <si>
    <t>optime_type</t>
    <phoneticPr fontId="3" type="noConversion"/>
  </si>
  <si>
    <t>hit_point</t>
    <phoneticPr fontId="3" type="noConversion"/>
  </si>
  <si>
    <t>HB</t>
    <phoneticPr fontId="3" type="noConversion"/>
  </si>
  <si>
    <t>hbody_empty</t>
    <phoneticPr fontId="3" type="noConversion"/>
  </si>
  <si>
    <t>replace_hbody_garage</t>
    <phoneticPr fontId="3" type="noConversion"/>
  </si>
  <si>
    <t>destroyed_01</t>
    <phoneticPr fontId="3" type="noConversion"/>
  </si>
  <si>
    <t>nd_ui_img_acard_hbody_001</t>
  </si>
  <si>
    <t>hbody_p00_00</t>
    <phoneticPr fontId="3" type="noConversion"/>
  </si>
  <si>
    <t>destroyed_01</t>
  </si>
  <si>
    <t>hbody_p00_01</t>
    <phoneticPr fontId="3" type="noConversion"/>
  </si>
  <si>
    <t>hbody_p00_02</t>
    <phoneticPr fontId="3" type="noConversion"/>
  </si>
  <si>
    <t>hbody_p00_03</t>
    <phoneticPr fontId="3" type="noConversion"/>
  </si>
  <si>
    <t>hbody_p00_04</t>
    <phoneticPr fontId="3" type="noConversion"/>
  </si>
  <si>
    <t>hbody_p00_05</t>
    <phoneticPr fontId="3" type="noConversion"/>
  </si>
  <si>
    <t>nd_ui_img_acard_hbody_002</t>
    <phoneticPr fontId="3" type="noConversion"/>
  </si>
  <si>
    <t>hbody_p01_00</t>
    <phoneticPr fontId="3" type="noConversion"/>
  </si>
  <si>
    <t>hbody_p01_01</t>
    <phoneticPr fontId="3" type="noConversion"/>
  </si>
  <si>
    <t>hbody_p01_02</t>
    <phoneticPr fontId="3" type="noConversion"/>
  </si>
  <si>
    <t>hbody_p01_03</t>
    <phoneticPr fontId="3" type="noConversion"/>
  </si>
  <si>
    <t>hbody_p01_04</t>
    <phoneticPr fontId="3" type="noConversion"/>
  </si>
  <si>
    <t>hbody_p01_05</t>
    <phoneticPr fontId="3" type="noConversion"/>
  </si>
  <si>
    <t>nd_ui_img_acard_hbody_003</t>
    <phoneticPr fontId="3" type="noConversion"/>
  </si>
  <si>
    <t>hbody_p02_00</t>
    <phoneticPr fontId="3" type="noConversion"/>
  </si>
  <si>
    <t>hbody_p02_01</t>
    <phoneticPr fontId="3" type="noConversion"/>
  </si>
  <si>
    <t>hbody_p02_02</t>
    <phoneticPr fontId="3" type="noConversion"/>
  </si>
  <si>
    <t>hbody_p02_03</t>
    <phoneticPr fontId="3" type="noConversion"/>
  </si>
  <si>
    <t>hbody_p02_04</t>
    <phoneticPr fontId="3" type="noConversion"/>
  </si>
  <si>
    <t>hbody_p02_05</t>
    <phoneticPr fontId="3" type="noConversion"/>
  </si>
  <si>
    <t>nd_ui_img_acard_hbody_007</t>
  </si>
  <si>
    <t>hbody_p06_00</t>
    <phoneticPr fontId="3" type="noConversion"/>
  </si>
  <si>
    <t>attack_p06</t>
  </si>
  <si>
    <t>hbody_p06_01</t>
    <phoneticPr fontId="3" type="noConversion"/>
  </si>
  <si>
    <t>hbody_p06_02</t>
    <phoneticPr fontId="3" type="noConversion"/>
  </si>
  <si>
    <t>hbody_p06_03</t>
    <phoneticPr fontId="3" type="noConversion"/>
  </si>
  <si>
    <t>hbody_p06_04</t>
    <phoneticPr fontId="3" type="noConversion"/>
  </si>
  <si>
    <t>hbody_p06_05</t>
    <phoneticPr fontId="3" type="noConversion"/>
  </si>
  <si>
    <t>move_speed</t>
  </si>
  <si>
    <t>target_cooltime</t>
    <phoneticPr fontId="3" type="noConversion"/>
  </si>
  <si>
    <t>target_cooltime_type</t>
    <phoneticPr fontId="3" type="noConversion"/>
  </si>
  <si>
    <t>leg</t>
    <phoneticPr fontId="3" type="noConversion"/>
  </si>
  <si>
    <t>leg_empty</t>
    <phoneticPr fontId="3" type="noConversion"/>
  </si>
  <si>
    <t>replace_leg_garage</t>
  </si>
  <si>
    <t>nd_ui_img_acard_leg_001</t>
  </si>
  <si>
    <t>leg_p00_00</t>
  </si>
  <si>
    <t>leg_p00_01</t>
  </si>
  <si>
    <t>leg_p00_02</t>
  </si>
  <si>
    <t>leg_p00_03</t>
  </si>
  <si>
    <t>leg_p00_04</t>
  </si>
  <si>
    <t>leg_p00_05</t>
  </si>
  <si>
    <t>nd_ui_img_acard_leg_002</t>
  </si>
  <si>
    <t>leg_p01_00</t>
  </si>
  <si>
    <t>leg_p01_01</t>
  </si>
  <si>
    <t>leg_p01_02</t>
  </si>
  <si>
    <t>leg_p01_03</t>
  </si>
  <si>
    <t>leg_p01_04</t>
  </si>
  <si>
    <t>leg_p01_05</t>
  </si>
  <si>
    <t>nd_ui_img_acard_leg_003</t>
  </si>
  <si>
    <t>leg_p02_00</t>
  </si>
  <si>
    <t>bbn</t>
    <phoneticPr fontId="3" type="noConversion"/>
  </si>
  <si>
    <t>leg_p02_01</t>
  </si>
  <si>
    <t>leg_p02_02</t>
  </si>
  <si>
    <t>leg_p02_03</t>
  </si>
  <si>
    <t>leg_p02_04</t>
  </si>
  <si>
    <t>leg_p02_05</t>
  </si>
  <si>
    <t>nd_ui_img_acard_leg_007</t>
  </si>
  <si>
    <t>leg_p06_00</t>
    <phoneticPr fontId="3" type="noConversion"/>
  </si>
  <si>
    <t>leg_p06_01</t>
    <phoneticPr fontId="3" type="noConversion"/>
  </si>
  <si>
    <t>leg_p06_02</t>
    <phoneticPr fontId="3" type="noConversion"/>
  </si>
  <si>
    <t>leg_p06_03</t>
    <phoneticPr fontId="3" type="noConversion"/>
  </si>
  <si>
    <t>leg_p06_04</t>
    <phoneticPr fontId="3" type="noConversion"/>
  </si>
  <si>
    <t>leg_p06_05</t>
    <phoneticPr fontId="3" type="noConversion"/>
  </si>
  <si>
    <t>bullet_ID</t>
  </si>
  <si>
    <t>Desc</t>
  </si>
  <si>
    <t>splash_range</t>
  </si>
  <si>
    <t>splash_damage</t>
  </si>
  <si>
    <t>bullet_speed</t>
  </si>
  <si>
    <t>homing</t>
  </si>
  <si>
    <t>resource</t>
  </si>
  <si>
    <t>캐논포탄</t>
  </si>
  <si>
    <t>nd_fx_spacechaser_atk_001</t>
  </si>
  <si>
    <t>미사일</t>
  </si>
  <si>
    <t>nd_fx_avatar_p06_atk_001</t>
  </si>
  <si>
    <t>CP_level</t>
    <phoneticPr fontId="3" type="noConversion"/>
  </si>
  <si>
    <t>weightcap_gauge_max</t>
    <phoneticPr fontId="3" type="noConversion"/>
  </si>
  <si>
    <t>dps_gauge_max</t>
    <phoneticPr fontId="3" type="noConversion"/>
  </si>
  <si>
    <t>speed_gauge_max</t>
    <phoneticPr fontId="3" type="noConversion"/>
  </si>
  <si>
    <t>optime_gauge_max</t>
    <phoneticPr fontId="3" type="noConversion"/>
  </si>
  <si>
    <t>target_cooltime_gauge_max</t>
    <phoneticPr fontId="3" type="noConversion"/>
  </si>
  <si>
    <t>skill_time_gauge_max</t>
    <phoneticPr fontId="3" type="noConversion"/>
  </si>
  <si>
    <t>atk_skill_value_gauge_max</t>
    <phoneticPr fontId="3" type="noConversion"/>
  </si>
  <si>
    <t>def_skill_value_gauge_max</t>
    <phoneticPr fontId="3" type="noConversion"/>
  </si>
  <si>
    <t>mspd_skill_value_gauge_max</t>
    <phoneticPr fontId="3" type="noConversion"/>
  </si>
  <si>
    <t>all_parts_hp_gauge_max</t>
    <phoneticPr fontId="3" type="noConversion"/>
  </si>
  <si>
    <t>bd_group_ID</t>
    <phoneticPr fontId="3" type="noConversion"/>
  </si>
  <si>
    <t>desc</t>
    <phoneticPr fontId="3" type="noConversion"/>
  </si>
  <si>
    <t>CP_level_1</t>
    <phoneticPr fontId="3" type="noConversion"/>
  </si>
  <si>
    <t>CP_level_2</t>
    <phoneticPr fontId="3" type="noConversion"/>
  </si>
  <si>
    <t>CP_level_3</t>
  </si>
  <si>
    <t>CP_level_4</t>
  </si>
  <si>
    <t>CP_level_5</t>
  </si>
  <si>
    <t>CP_level_6</t>
  </si>
  <si>
    <t>CP_level_7</t>
  </si>
  <si>
    <t>CP_level_8</t>
  </si>
  <si>
    <t>CP_level_9</t>
  </si>
  <si>
    <t>recharging station</t>
    <phoneticPr fontId="3" type="noConversion"/>
  </si>
  <si>
    <t>cp</t>
    <phoneticPr fontId="3" type="noConversion"/>
  </si>
  <si>
    <t>factory</t>
    <phoneticPr fontId="3" type="noConversion"/>
  </si>
  <si>
    <t>support weapon lab</t>
    <phoneticPr fontId="3" type="noConversion"/>
  </si>
  <si>
    <t>amory</t>
    <phoneticPr fontId="3" type="noConversion"/>
  </si>
  <si>
    <t>tech lab</t>
    <phoneticPr fontId="3" type="noConversion"/>
  </si>
  <si>
    <t>Amethyst Storage</t>
  </si>
  <si>
    <t>Acid Storage</t>
  </si>
  <si>
    <t>Aquajelly Storage</t>
  </si>
  <si>
    <t>union center</t>
    <phoneticPr fontId="3" type="noConversion"/>
  </si>
  <si>
    <t>space platform</t>
    <phoneticPr fontId="3" type="noConversion"/>
  </si>
  <si>
    <t>explore dock</t>
    <phoneticPr fontId="3" type="noConversion"/>
  </si>
  <si>
    <t>avatar lab</t>
    <phoneticPr fontId="3" type="noConversion"/>
  </si>
  <si>
    <t>watchtower</t>
    <phoneticPr fontId="3" type="noConversion"/>
  </si>
  <si>
    <t>cannon</t>
    <phoneticPr fontId="3" type="noConversion"/>
  </si>
  <si>
    <t>plasma_wave</t>
    <phoneticPr fontId="3" type="noConversion"/>
  </si>
  <si>
    <t>infernotower(s)</t>
    <phoneticPr fontId="3" type="noConversion"/>
  </si>
  <si>
    <t>ID</t>
    <phoneticPr fontId="3" type="noConversion"/>
  </si>
  <si>
    <t>level</t>
    <phoneticPr fontId="3" type="noConversion"/>
  </si>
  <si>
    <t>HP</t>
  </si>
  <si>
    <t>area</t>
    <phoneticPr fontId="3" type="noConversion"/>
  </si>
  <si>
    <t>bd_type</t>
  </si>
  <si>
    <t>bd_group_type</t>
    <phoneticPr fontId="3" type="noConversion"/>
  </si>
  <si>
    <t>upgrade_resource_type</t>
  </si>
  <si>
    <t>upgrade_resource_value</t>
  </si>
  <si>
    <t>upgrade_user_lv_limit</t>
  </si>
  <si>
    <t>upgrade_cp_lv_limit</t>
  </si>
  <si>
    <t>ame_max_capacity</t>
    <phoneticPr fontId="3" type="noConversion"/>
  </si>
  <si>
    <t>acid_max_capacity</t>
    <phoneticPr fontId="3" type="noConversion"/>
  </si>
  <si>
    <t>aqua_max_capacity</t>
    <phoneticPr fontId="3" type="noConversion"/>
  </si>
  <si>
    <t>gain_type</t>
  </si>
  <si>
    <t>gain_quantity</t>
    <phoneticPr fontId="3" type="noConversion"/>
  </si>
  <si>
    <t>gain_icon_quantity</t>
    <phoneticPr fontId="3" type="noConversion"/>
  </si>
  <si>
    <t>human_limit</t>
  </si>
  <si>
    <t>sight_range</t>
  </si>
  <si>
    <t>is_moveable</t>
    <phoneticPr fontId="3" type="noConversion"/>
  </si>
  <si>
    <t>prefabs</t>
  </si>
  <si>
    <t>mainidle_ani</t>
    <phoneticPr fontId="3" type="noConversion"/>
  </si>
  <si>
    <t>headidle_ani</t>
    <phoneticPr fontId="3" type="noConversion"/>
  </si>
  <si>
    <t>operation_ani</t>
    <phoneticPr fontId="3" type="noConversion"/>
  </si>
  <si>
    <t>rs_ani</t>
    <phoneticPr fontId="3" type="noConversion"/>
  </si>
  <si>
    <t>side_ani_01</t>
    <phoneticPr fontId="3" type="noConversion"/>
  </si>
  <si>
    <t>side_ani_02</t>
    <phoneticPr fontId="3" type="noConversion"/>
  </si>
  <si>
    <t>animation_level_bottom</t>
    <phoneticPr fontId="3" type="noConversion"/>
  </si>
  <si>
    <t>animation_level_top</t>
    <phoneticPr fontId="3" type="noConversion"/>
  </si>
  <si>
    <t>animation_level_resource</t>
    <phoneticPr fontId="3" type="noConversion"/>
  </si>
  <si>
    <t>gain_quantity_type</t>
    <phoneticPr fontId="3" type="noConversion"/>
  </si>
  <si>
    <t>recharginstation</t>
    <phoneticPr fontId="3" type="noConversion"/>
  </si>
  <si>
    <t>normal</t>
    <phoneticPr fontId="3" type="noConversion"/>
  </si>
  <si>
    <t>nd_ui_lvl1_bd_recharging_station</t>
    <phoneticPr fontId="3" type="noConversion"/>
  </si>
  <si>
    <t>nd_lvl1_bd_recharging_station_001</t>
    <phoneticPr fontId="3" type="noConversion"/>
  </si>
  <si>
    <t>m</t>
    <phoneticPr fontId="3" type="noConversion"/>
  </si>
  <si>
    <t>CP</t>
    <phoneticPr fontId="3" type="noConversion"/>
  </si>
  <si>
    <t>resource</t>
    <phoneticPr fontId="3" type="noConversion"/>
  </si>
  <si>
    <t>nd_ui_lvl1_bd_cp</t>
    <phoneticPr fontId="3" type="noConversion"/>
  </si>
  <si>
    <t>nd_lvl1_bd_cp_001</t>
  </si>
  <si>
    <t>nd_ui_lvl1_bd_factory</t>
    <phoneticPr fontId="3" type="noConversion"/>
  </si>
  <si>
    <t>nd_lvl1_bd_factory_001</t>
  </si>
  <si>
    <t>supportweaponlab</t>
  </si>
  <si>
    <t>nd_ui_lvl1_bd_skilllab</t>
    <phoneticPr fontId="3" type="noConversion"/>
  </si>
  <si>
    <t>nd_lvl1_bd_skilllab_001</t>
  </si>
  <si>
    <t>armory</t>
    <phoneticPr fontId="3" type="noConversion"/>
  </si>
  <si>
    <t>nd_ui_lvl1_bd_armory</t>
    <phoneticPr fontId="3" type="noConversion"/>
  </si>
  <si>
    <t>nd_lvl1_bd_armory_001</t>
  </si>
  <si>
    <t>techlab(7월버전용 아님)</t>
    <phoneticPr fontId="3" type="noConversion"/>
  </si>
  <si>
    <t>techlab</t>
    <phoneticPr fontId="3" type="noConversion"/>
  </si>
  <si>
    <t>nd_ui_lvl1_bd_techlab</t>
    <phoneticPr fontId="3" type="noConversion"/>
  </si>
  <si>
    <t>nd_lvl1_bd_techlab_001</t>
    <phoneticPr fontId="3" type="noConversion"/>
  </si>
  <si>
    <t>resource_collector</t>
    <phoneticPr fontId="3" type="noConversion"/>
  </si>
  <si>
    <t>nd_ui_lvl1_bd_amecollector</t>
    <phoneticPr fontId="3" type="noConversion"/>
  </si>
  <si>
    <t>nd_lvl1_bd_amecollector_001</t>
  </si>
  <si>
    <t>nd_ui_lvl1_bd_acidcollector</t>
    <phoneticPr fontId="3" type="noConversion"/>
  </si>
  <si>
    <t>nd_lvl1_bd_acidcollector_001</t>
  </si>
  <si>
    <t>nd_ui_lvl1_bd_aquacollector</t>
    <phoneticPr fontId="3" type="noConversion"/>
  </si>
  <si>
    <t>nd_lvl1_bd_aquacollector_001</t>
  </si>
  <si>
    <t>resource_storage</t>
    <phoneticPr fontId="3" type="noConversion"/>
  </si>
  <si>
    <t>nd_ui_lvl1_bd_amestorage</t>
    <phoneticPr fontId="3" type="noConversion"/>
  </si>
  <si>
    <t>nd_lvl1_bd_amestorage_001</t>
  </si>
  <si>
    <t>nd_ui_lvl1_bd_acidstorage</t>
    <phoneticPr fontId="3" type="noConversion"/>
  </si>
  <si>
    <t>nd_lvl1_bd_acidstorage_001</t>
  </si>
  <si>
    <t>nd_ui_lvl1_bd_aquastorage</t>
    <phoneticPr fontId="3" type="noConversion"/>
  </si>
  <si>
    <t>nd_lvl1_bd_aquastorage_001</t>
  </si>
  <si>
    <t>union</t>
    <phoneticPr fontId="3" type="noConversion"/>
  </si>
  <si>
    <t>nd_ui_lvl1_bd_splaform</t>
    <phoneticPr fontId="3" type="noConversion"/>
  </si>
  <si>
    <t>nd_lvl1_bd_union_center_001</t>
  </si>
  <si>
    <t>spaceplatform</t>
    <phoneticPr fontId="3" type="noConversion"/>
  </si>
  <si>
    <t>nd_lvl1_bd_splatform_001</t>
    <phoneticPr fontId="3" type="noConversion"/>
  </si>
  <si>
    <t>explore_dock</t>
    <phoneticPr fontId="3" type="noConversion"/>
  </si>
  <si>
    <t>nd_ui_lvl1_bd_explore_dock</t>
    <phoneticPr fontId="3" type="noConversion"/>
  </si>
  <si>
    <t>nd_lvl1_bd_explore_dock_001</t>
    <phoneticPr fontId="3" type="noConversion"/>
  </si>
  <si>
    <t>nd_lvl1_bd_explore_dock_001</t>
  </si>
  <si>
    <t>avatarlab</t>
    <phoneticPr fontId="3" type="noConversion"/>
  </si>
  <si>
    <t>nd_ui_lvl1_bd_avatarlab</t>
    <phoneticPr fontId="3" type="noConversion"/>
  </si>
  <si>
    <t>nd_lvl1_bd_avatarlab_001</t>
  </si>
  <si>
    <t>ID</t>
  </si>
  <si>
    <t>target_type</t>
  </si>
  <si>
    <t>first_target</t>
    <phoneticPr fontId="3" type="noConversion"/>
  </si>
  <si>
    <t>target_site</t>
  </si>
  <si>
    <t>target_search_interval</t>
    <phoneticPr fontId="3" type="noConversion"/>
  </si>
  <si>
    <t>first_atk_delay</t>
  </si>
  <si>
    <t>attack_speed</t>
  </si>
  <si>
    <t>attack_count_limit</t>
    <phoneticPr fontId="3" type="noConversion"/>
  </si>
  <si>
    <t>attack_break_time</t>
    <phoneticPr fontId="3" type="noConversion"/>
  </si>
  <si>
    <t>attack_range_min</t>
  </si>
  <si>
    <t>attack_range_max</t>
  </si>
  <si>
    <t>attack_type</t>
  </si>
  <si>
    <t>barrel_trace</t>
  </si>
  <si>
    <t>offset</t>
  </si>
  <si>
    <t>icon</t>
    <phoneticPr fontId="3" type="noConversion"/>
  </si>
  <si>
    <t>etc</t>
    <phoneticPr fontId="3" type="noConversion"/>
  </si>
  <si>
    <t>nd_lvl1_bd_watch_tower_001</t>
  </si>
  <si>
    <t>nd_lvl1_bd_cannon_001</t>
  </si>
  <si>
    <t>artillary</t>
  </si>
  <si>
    <t>nd_lvl1_bd_artillery_001</t>
  </si>
  <si>
    <t>nd_lvl1_bd_turret_001</t>
  </si>
  <si>
    <t>plasma_wave(그라운드)</t>
    <phoneticPr fontId="3" type="noConversion"/>
  </si>
  <si>
    <t>nd_lvl1_bd_plasma_wave_001</t>
  </si>
  <si>
    <t>모드변환</t>
    <phoneticPr fontId="3" type="noConversion"/>
  </si>
  <si>
    <t>nd_lvl1_bd_adv_flame_thrower_001</t>
  </si>
  <si>
    <t>nd_lvl1_bd_icbm_001</t>
  </si>
  <si>
    <t>paralyze</t>
    <phoneticPr fontId="3" type="noConversion"/>
  </si>
  <si>
    <t>nd_lvl1_bd_paralyzer_001</t>
  </si>
  <si>
    <t>beam</t>
    <phoneticPr fontId="3" type="noConversion"/>
  </si>
  <si>
    <t>nd_lvl1_bd_giant_taser_001</t>
  </si>
  <si>
    <t>nd_lvl1_bd_infernotower_001</t>
  </si>
  <si>
    <t>highangle_fire</t>
    <phoneticPr fontId="3" type="noConversion"/>
  </si>
  <si>
    <t>is_beam</t>
    <phoneticPr fontId="3" type="noConversion"/>
  </si>
  <si>
    <t>homing</t>
    <phoneticPr fontId="3" type="noConversion"/>
  </si>
  <si>
    <t>bullet_speed</t>
    <phoneticPr fontId="3" type="noConversion"/>
  </si>
  <si>
    <t>bullet_count</t>
    <phoneticPr fontId="3" type="noConversion"/>
  </si>
  <si>
    <t>bullet_interval</t>
    <phoneticPr fontId="3" type="noConversion"/>
  </si>
  <si>
    <t>bullet_max_height</t>
    <phoneticPr fontId="3" type="noConversion"/>
  </si>
  <si>
    <t>splash_range</t>
    <phoneticPr fontId="3" type="noConversion"/>
  </si>
  <si>
    <t>dot_life_time</t>
    <phoneticPr fontId="3" type="noConversion"/>
  </si>
  <si>
    <t>dot_damage_cycle</t>
    <phoneticPr fontId="3" type="noConversion"/>
  </si>
  <si>
    <t>캐논 탄환</t>
    <phoneticPr fontId="3" type="noConversion"/>
  </si>
  <si>
    <t>플라즈마 웨이브 탄환</t>
    <phoneticPr fontId="3" type="noConversion"/>
  </si>
  <si>
    <t>박격포 탄환</t>
    <phoneticPr fontId="3" type="noConversion"/>
  </si>
  <si>
    <t>터렛 미사일 Lv 1~4</t>
    <phoneticPr fontId="3" type="noConversion"/>
  </si>
  <si>
    <t>터렛 미사일 Lv 5~</t>
    <phoneticPr fontId="3" type="noConversion"/>
  </si>
  <si>
    <t>ICBM 미사일</t>
    <phoneticPr fontId="3" type="noConversion"/>
  </si>
  <si>
    <t>화염방사기</t>
    <phoneticPr fontId="3" type="noConversion"/>
  </si>
  <si>
    <t>자이언트 테이저</t>
    <phoneticPr fontId="3" type="noConversion"/>
  </si>
  <si>
    <t>인페르노 타워 S</t>
    <phoneticPr fontId="3" type="noConversion"/>
  </si>
  <si>
    <t>인페르노 타워 M</t>
    <phoneticPr fontId="3" type="noConversion"/>
  </si>
  <si>
    <t>패럴라이저 필드 lv1</t>
    <phoneticPr fontId="3" type="noConversion"/>
  </si>
  <si>
    <t>패럴라이저 필드 lv2</t>
    <phoneticPr fontId="3" type="noConversion"/>
  </si>
  <si>
    <t>패럴라이저 필드 lv3</t>
    <phoneticPr fontId="3" type="noConversion"/>
  </si>
  <si>
    <t>패럴라이저 필드 lv4</t>
    <phoneticPr fontId="3" type="noConversion"/>
  </si>
  <si>
    <t>패럴라이저 필드 lv5</t>
    <phoneticPr fontId="3" type="noConversion"/>
  </si>
  <si>
    <t>패럴라이저 필드 lv6</t>
    <phoneticPr fontId="3" type="noConversion"/>
  </si>
  <si>
    <t>패럴라이저 필드 lv7</t>
    <phoneticPr fontId="3" type="noConversion"/>
  </si>
  <si>
    <t>패럴라이저 필드 lv8</t>
    <phoneticPr fontId="3" type="noConversion"/>
  </si>
  <si>
    <t>패럴라이저 필드 lv9</t>
    <phoneticPr fontId="3" type="noConversion"/>
  </si>
  <si>
    <t>패럴라이저 필드 lv10</t>
    <phoneticPr fontId="3" type="noConversion"/>
  </si>
  <si>
    <t>area</t>
  </si>
  <si>
    <t>bd_group_type</t>
  </si>
  <si>
    <t>first_target</t>
  </si>
  <si>
    <t>attack_power</t>
  </si>
  <si>
    <t>mainidle_ani</t>
  </si>
  <si>
    <t>headidle_ani</t>
  </si>
  <si>
    <t>operation_ani</t>
  </si>
  <si>
    <t>animation_level_bottom</t>
  </si>
  <si>
    <t>animation_level_top</t>
  </si>
  <si>
    <t>plasma_wave(air)</t>
  </si>
  <si>
    <t>range</t>
  </si>
  <si>
    <t>infernotower(m)</t>
  </si>
  <si>
    <t>beam</t>
  </si>
  <si>
    <t>unit_group_ID</t>
    <phoneticPr fontId="3" type="noConversion"/>
  </si>
  <si>
    <t>default_research</t>
    <phoneticPr fontId="3" type="noConversion"/>
  </si>
  <si>
    <t>target_site</t>
    <phoneticPr fontId="3" type="noConversion"/>
  </si>
  <si>
    <t>factory_level</t>
    <phoneticPr fontId="3" type="noConversion"/>
  </si>
  <si>
    <t>human_capacity</t>
  </si>
  <si>
    <t>sight_range</t>
    <phoneticPr fontId="3" type="noConversion"/>
  </si>
  <si>
    <t>unit_search_range</t>
    <phoneticPr fontId="3" type="noConversion"/>
  </si>
  <si>
    <t>attack_range</t>
  </si>
  <si>
    <t>bullet_resource</t>
  </si>
  <si>
    <t>move_type</t>
  </si>
  <si>
    <t>resource_type</t>
  </si>
  <si>
    <t>idle_ani</t>
  </si>
  <si>
    <t>walk_ani</t>
  </si>
  <si>
    <t>attack_ani</t>
  </si>
  <si>
    <t>offset_x</t>
    <phoneticPr fontId="3" type="noConversion"/>
  </si>
  <si>
    <t>offset_y</t>
    <phoneticPr fontId="3" type="noConversion"/>
  </si>
  <si>
    <t>리차저</t>
  </si>
  <si>
    <t>nd_ui_img_cha_recharger</t>
    <phoneticPr fontId="3" type="noConversion"/>
  </si>
  <si>
    <t>nd_lvl1_cha_recharger_001</t>
  </si>
  <si>
    <t>골드베인</t>
    <phoneticPr fontId="3" type="noConversion"/>
  </si>
  <si>
    <t>nd_ui_img_cha_gold_bane</t>
    <phoneticPr fontId="3" type="noConversion"/>
  </si>
  <si>
    <t>nd_lvl1_cha_gold_bane_001</t>
  </si>
  <si>
    <t>베일로</t>
    <phoneticPr fontId="3" type="noConversion"/>
  </si>
  <si>
    <t>nd_ui_img_cha_valo</t>
    <phoneticPr fontId="3" type="noConversion"/>
  </si>
  <si>
    <t>nd_lvl1_cha_valo_001</t>
  </si>
  <si>
    <t>아쿠아해머</t>
    <phoneticPr fontId="3" type="noConversion"/>
  </si>
  <si>
    <t>nd_ui_img_cha_aquahammer</t>
    <phoneticPr fontId="3" type="noConversion"/>
  </si>
  <si>
    <t>nd_lvl1_cha_aquahammer_001</t>
  </si>
  <si>
    <t>고블린</t>
    <phoneticPr fontId="3" type="noConversion"/>
  </si>
  <si>
    <t>nd_ui_img_cha_goblin</t>
    <phoneticPr fontId="3" type="noConversion"/>
  </si>
  <si>
    <t>nd_lvl1_cha_gobline_001</t>
  </si>
  <si>
    <t>크리드</t>
    <phoneticPr fontId="3" type="noConversion"/>
  </si>
  <si>
    <t>nd_ui_img_cha_creed</t>
    <phoneticPr fontId="3" type="noConversion"/>
  </si>
  <si>
    <t>nd_lvl1_cha_creed_001</t>
  </si>
  <si>
    <t>벌룬</t>
    <phoneticPr fontId="3" type="noConversion"/>
  </si>
  <si>
    <t>nd_ui_img_cha_balloon</t>
    <phoneticPr fontId="3" type="noConversion"/>
  </si>
  <si>
    <t>nd_lvl1_cha_balloon_001</t>
  </si>
  <si>
    <t>스페이스체이서</t>
    <phoneticPr fontId="3" type="noConversion"/>
  </si>
  <si>
    <t>nd_ui_img_cha_spacechaser</t>
    <phoneticPr fontId="3" type="noConversion"/>
  </si>
  <si>
    <t>nd_lvl1_cha_spacechaser_001</t>
  </si>
  <si>
    <t>메디컬 블림</t>
    <phoneticPr fontId="3" type="noConversion"/>
  </si>
  <si>
    <t>heal</t>
    <phoneticPr fontId="3" type="noConversion"/>
  </si>
  <si>
    <t>nd_ui_img_cha_medical_blimp</t>
    <phoneticPr fontId="3" type="noConversion"/>
  </si>
  <si>
    <t>nd_lvl1_cha_medicalblimp_001</t>
  </si>
  <si>
    <t>xxx 파리(미니언)</t>
    <phoneticPr fontId="3" type="noConversion"/>
  </si>
  <si>
    <t>nd_ui_img_cha_minion</t>
    <phoneticPr fontId="3" type="noConversion"/>
  </si>
  <si>
    <t>nd_lvl1_cha_minion_001</t>
  </si>
  <si>
    <t>가즈맨</t>
    <phoneticPr fontId="3" type="noConversion"/>
  </si>
  <si>
    <t>army</t>
    <phoneticPr fontId="3" type="noConversion"/>
  </si>
  <si>
    <t>nd_ui_img_cha_guardsman</t>
    <phoneticPr fontId="3" type="noConversion"/>
  </si>
  <si>
    <t>nd_lvl1_cha_guardsman_001</t>
  </si>
  <si>
    <t>사이클롭스</t>
    <phoneticPr fontId="3" type="noConversion"/>
  </si>
  <si>
    <t>nd_ui_img_cha_cyclops</t>
    <phoneticPr fontId="3" type="noConversion"/>
  </si>
  <si>
    <t>nd_lvl1_cha_cyclops_001</t>
  </si>
  <si>
    <t>스페이스캐리어</t>
    <phoneticPr fontId="3" type="noConversion"/>
  </si>
  <si>
    <t>summon</t>
    <phoneticPr fontId="3" type="noConversion"/>
  </si>
  <si>
    <t>nd_ui_img_cha_spacecarrier</t>
    <phoneticPr fontId="3" type="noConversion"/>
  </si>
  <si>
    <t>nd_lvl1_cha_spacecarrier_001</t>
    <phoneticPr fontId="3" type="noConversion"/>
  </si>
  <si>
    <t>인터셉터</t>
    <phoneticPr fontId="3" type="noConversion"/>
  </si>
  <si>
    <t>lvl1_cha_spacecarrier_interceptor_01</t>
    <phoneticPr fontId="3" type="noConversion"/>
  </si>
  <si>
    <t>nd_lvl1_cha_spacecarrier_intercepter_001</t>
  </si>
  <si>
    <t>아바타(더미_서버)</t>
    <phoneticPr fontId="3" type="noConversion"/>
  </si>
  <si>
    <t>nd_ui_img_avatar_001</t>
    <phoneticPr fontId="3" type="noConversion"/>
  </si>
  <si>
    <t>nd_lvl1_cha_avatar_001</t>
    <phoneticPr fontId="3" type="noConversion"/>
  </si>
  <si>
    <t>resource_value</t>
  </si>
  <si>
    <t>training_time</t>
  </si>
  <si>
    <t>armory_level</t>
    <phoneticPr fontId="3" type="noConversion"/>
  </si>
  <si>
    <t>animation_level</t>
    <phoneticPr fontId="3" type="noConversion"/>
  </si>
  <si>
    <t>special_value</t>
    <phoneticPr fontId="3" type="noConversion"/>
  </si>
  <si>
    <t>리차저</t>
    <phoneticPr fontId="3" type="noConversion"/>
  </si>
  <si>
    <t>xxx fly</t>
    <phoneticPr fontId="3" type="noConversion"/>
  </si>
  <si>
    <t>group_id</t>
    <phoneticPr fontId="3" type="noConversion"/>
  </si>
  <si>
    <t>upgrade_armory_level_limit</t>
  </si>
  <si>
    <t>research_time</t>
    <phoneticPr fontId="3" type="noConversion"/>
  </si>
  <si>
    <t>unit</t>
    <phoneticPr fontId="3" type="noConversion"/>
  </si>
  <si>
    <t>support_weapon</t>
    <phoneticPr fontId="3" type="noConversion"/>
  </si>
  <si>
    <t>화력지원</t>
  </si>
  <si>
    <t>support_weapon_group_id</t>
    <phoneticPr fontId="3" type="noConversion"/>
  </si>
  <si>
    <t>support_weapon_lab_level</t>
    <phoneticPr fontId="3" type="noConversion"/>
  </si>
  <si>
    <t>skill_effect</t>
  </si>
  <si>
    <t>skill_capacity</t>
  </si>
  <si>
    <t>skill_target_category</t>
    <phoneticPr fontId="3" type="noConversion"/>
  </si>
  <si>
    <t>skill_target_iff</t>
    <phoneticPr fontId="3" type="noConversion"/>
  </si>
  <si>
    <t>skill_target_site</t>
    <phoneticPr fontId="3" type="noConversion"/>
  </si>
  <si>
    <t>resource_type</t>
    <phoneticPr fontId="3" type="noConversion"/>
  </si>
  <si>
    <t>화력 지원</t>
    <phoneticPr fontId="3" type="noConversion"/>
  </si>
  <si>
    <t>firesupport</t>
  </si>
  <si>
    <t>nd_ui_img_sweapon_001</t>
    <phoneticPr fontId="3" type="noConversion"/>
  </si>
  <si>
    <t>skill_level</t>
  </si>
  <si>
    <t>skill_pulse</t>
  </si>
  <si>
    <t>skill_value_1</t>
  </si>
  <si>
    <t>skill_value_2</t>
  </si>
  <si>
    <t>training_time</t>
    <phoneticPr fontId="3" type="noConversion"/>
  </si>
  <si>
    <t>resource_value</t>
    <phoneticPr fontId="3" type="noConversion"/>
  </si>
  <si>
    <t>explore_id</t>
    <phoneticPr fontId="3" type="noConversion"/>
  </si>
  <si>
    <t>explore_building_lv</t>
  </si>
  <si>
    <t>explore_time</t>
    <phoneticPr fontId="3" type="noConversion"/>
  </si>
  <si>
    <t>recharger</t>
  </si>
  <si>
    <t>darkmatter_count_min</t>
  </si>
  <si>
    <t>darkmatter_count_max</t>
  </si>
  <si>
    <t>object_ID</t>
  </si>
  <si>
    <t>stage_ID</t>
  </si>
  <si>
    <t>building_group_ID</t>
  </si>
  <si>
    <t>building_lv</t>
  </si>
  <si>
    <t>resource_bd_flag</t>
  </si>
  <si>
    <t>stageID</t>
    <phoneticPr fontId="3" type="noConversion"/>
  </si>
  <si>
    <t>open_condition</t>
    <phoneticPr fontId="3" type="noConversion"/>
  </si>
  <si>
    <t>give_amethyst</t>
    <phoneticPr fontId="3" type="noConversion"/>
  </si>
  <si>
    <t>give_acid</t>
    <phoneticPr fontId="3" type="noConversion"/>
  </si>
  <si>
    <t>give_aquajelly</t>
    <phoneticPr fontId="3" type="noConversion"/>
  </si>
  <si>
    <t>give_topaz</t>
    <phoneticPr fontId="3" type="noConversion"/>
  </si>
  <si>
    <t>recommend_lv</t>
    <phoneticPr fontId="3" type="noConversion"/>
  </si>
  <si>
    <t>building_group_id</t>
    <phoneticPr fontId="3" type="noConversion"/>
  </si>
  <si>
    <t>victoryRate</t>
    <phoneticPr fontId="3" type="noConversion"/>
  </si>
  <si>
    <t>파일명</t>
    <phoneticPr fontId="3" type="noConversion"/>
  </si>
  <si>
    <t>항목</t>
    <phoneticPr fontId="3" type="noConversion"/>
  </si>
  <si>
    <t>서버</t>
    <phoneticPr fontId="3" type="noConversion"/>
  </si>
  <si>
    <t>클라</t>
    <phoneticPr fontId="3" type="noConversion"/>
  </si>
  <si>
    <t>battleTime</t>
    <phoneticPr fontId="3" type="noConversion"/>
  </si>
  <si>
    <t>matchingAppointLevel</t>
    <phoneticPr fontId="3" type="noConversion"/>
  </si>
  <si>
    <t>matchingGroupMinUser</t>
    <phoneticPr fontId="3" type="noConversion"/>
  </si>
  <si>
    <t>maxHumanCapacity</t>
    <phoneticPr fontId="3" type="noConversion"/>
  </si>
  <si>
    <t>최대 인구</t>
    <phoneticPr fontId="3" type="noConversion"/>
  </si>
  <si>
    <t>rechargerMaxCount</t>
    <phoneticPr fontId="3" type="noConversion"/>
  </si>
  <si>
    <t>장인 최대 개수</t>
    <phoneticPr fontId="3" type="noConversion"/>
  </si>
  <si>
    <t>screenWidth</t>
    <phoneticPr fontId="3" type="noConversion"/>
  </si>
  <si>
    <t xml:space="preserve">기본 해상도 </t>
    <phoneticPr fontId="3" type="noConversion"/>
  </si>
  <si>
    <t>screenHeight</t>
    <phoneticPr fontId="3" type="noConversion"/>
  </si>
  <si>
    <t>defaultLanguage</t>
    <phoneticPr fontId="3" type="noConversion"/>
  </si>
  <si>
    <t>0 = english , 1 = korean, 2 = ??</t>
    <phoneticPr fontId="3" type="noConversion"/>
  </si>
  <si>
    <t>inventoryMaxCount</t>
    <phoneticPr fontId="3" type="noConversion"/>
  </si>
  <si>
    <t>파츠 인벤토리 최대치</t>
    <phoneticPr fontId="3" type="noConversion"/>
  </si>
  <si>
    <t>inventoryIncreaseSlotCount</t>
    <phoneticPr fontId="3" type="noConversion"/>
  </si>
  <si>
    <t>파츠 인벤토리 확장 시, 늘어나는 칸 수</t>
    <phoneticPr fontId="3" type="noConversion"/>
  </si>
  <si>
    <t>inventoryIncreaseNeedTopazCount</t>
    <phoneticPr fontId="3" type="noConversion"/>
  </si>
  <si>
    <t>파츠 인벤토리 확장 시, 필요한 잼의 공식에 들어가는 기본 계수</t>
    <phoneticPr fontId="3" type="noConversion"/>
  </si>
  <si>
    <t>networkIdleCheckTime</t>
    <phoneticPr fontId="3" type="noConversion"/>
  </si>
  <si>
    <t>서버 유지 연결 시간, 이 시간 이상 서버와 통신이 없었다면 로그인 부터 다시.</t>
    <phoneticPr fontId="3" type="noConversion"/>
  </si>
  <si>
    <t>chattingLogMaxCount</t>
    <phoneticPr fontId="3" type="noConversion"/>
  </si>
  <si>
    <t>채팅 로그 수 제한</t>
    <phoneticPr fontId="3" type="noConversion"/>
  </si>
  <si>
    <t>userdata_preset_type</t>
    <phoneticPr fontId="3" type="noConversion"/>
  </si>
  <si>
    <t>유저데이터 프리셋 타입 : 
ID를 필요 데이터 항목으로 설정</t>
    <phoneticPr fontId="3" type="noConversion"/>
  </si>
  <si>
    <t>userdata_preset_value</t>
    <phoneticPr fontId="3" type="noConversion"/>
  </si>
  <si>
    <t>유저데이터 프리셋 데이터 : 
타입에 따라 데이터 형식이 변경될 수 있음</t>
    <phoneticPr fontId="3" type="noConversion"/>
  </si>
  <si>
    <t>지급할 빌딩 그룹 ID</t>
  </si>
  <si>
    <t>주석</t>
  </si>
  <si>
    <t>building_level</t>
    <phoneticPr fontId="3" type="noConversion"/>
  </si>
  <si>
    <t>해당 그룹내에서 지급할 빌딩 레벨</t>
  </si>
  <si>
    <t>building_grid_col</t>
    <phoneticPr fontId="3" type="noConversion"/>
  </si>
  <si>
    <t>빌딩 위치 열 좌표</t>
  </si>
  <si>
    <t>building_grid_row</t>
    <phoneticPr fontId="3" type="noConversion"/>
  </si>
  <si>
    <t>빌딩 위치 행 좌표</t>
  </si>
  <si>
    <t>리그포인트차이 최대값</t>
    <phoneticPr fontId="3" type="noConversion"/>
  </si>
  <si>
    <t>이겼을 경우 획득 리그 포인트</t>
    <phoneticPr fontId="3" type="noConversion"/>
  </si>
  <si>
    <t>졌을 경우 획득 리그 포인트</t>
    <phoneticPr fontId="3" type="noConversion"/>
  </si>
  <si>
    <t>리그 및 티어 식별용 id</t>
    <phoneticPr fontId="3" type="noConversion"/>
  </si>
  <si>
    <t>소속 리그 id</t>
    <phoneticPr fontId="3" type="noConversion"/>
  </si>
  <si>
    <t>해당 리그 내 티어</t>
    <phoneticPr fontId="3" type="noConversion"/>
  </si>
  <si>
    <t>리그 진입 필요 포인트</t>
    <phoneticPr fontId="3" type="noConversion"/>
  </si>
  <si>
    <t>degrade_point</t>
    <phoneticPr fontId="3" type="noConversion"/>
  </si>
  <si>
    <t>리그 유지 최소 포인트(이하인 경우 강등)</t>
    <phoneticPr fontId="3" type="noConversion"/>
  </si>
  <si>
    <t>설명</t>
    <phoneticPr fontId="3" type="noConversion"/>
  </si>
  <si>
    <t>리그 아이콘 : 클라이언트 용</t>
    <phoneticPr fontId="3" type="noConversion"/>
  </si>
  <si>
    <t>league_point_wincount_weight</t>
    <phoneticPr fontId="3" type="noConversion"/>
  </si>
  <si>
    <t>승패 숫자</t>
    <phoneticPr fontId="3" type="noConversion"/>
  </si>
  <si>
    <t>연승 연패 판정</t>
  </si>
  <si>
    <t>리그 포인트 가중치</t>
  </si>
  <si>
    <t>승률 기준</t>
    <phoneticPr fontId="3" type="noConversion"/>
  </si>
  <si>
    <t>리그 포인트 가중치</t>
    <phoneticPr fontId="3" type="noConversion"/>
  </si>
  <si>
    <t>max_pillageable_resource</t>
    <phoneticPr fontId="3" type="noConversion"/>
  </si>
  <si>
    <t>유저의 cp 레벨</t>
    <phoneticPr fontId="3" type="noConversion"/>
  </si>
  <si>
    <t>약탈할 수 있는 아메 비율(%)</t>
    <phoneticPr fontId="3" type="noConversion"/>
  </si>
  <si>
    <t>약탈할 수 있는 애시드 비율(%)</t>
    <phoneticPr fontId="3" type="noConversion"/>
  </si>
  <si>
    <t>약탈할 수 있는 아쿠아 비율(%)</t>
    <phoneticPr fontId="3" type="noConversion"/>
  </si>
  <si>
    <t>약탈할 수 있는 아메 최대값(%)</t>
    <phoneticPr fontId="3" type="noConversion"/>
  </si>
  <si>
    <t>약탈할 수 있는 애시드 최대값(%)</t>
    <phoneticPr fontId="3" type="noConversion"/>
  </si>
  <si>
    <t>약탈할 수 있는 아쿠아 최대값(%)</t>
    <phoneticPr fontId="3" type="noConversion"/>
  </si>
  <si>
    <t>CP 레벨 차이</t>
    <phoneticPr fontId="3" type="noConversion"/>
  </si>
  <si>
    <t>약탈량에 적용되는 페널티</t>
    <phoneticPr fontId="3" type="noConversion"/>
  </si>
  <si>
    <t>레벨</t>
    <phoneticPr fontId="3" type="noConversion"/>
  </si>
  <si>
    <t>다음 레벨에 가기 위한 필요 경험치</t>
    <phoneticPr fontId="3" type="noConversion"/>
  </si>
  <si>
    <t>다음 레벨에 가기 위한 누적 경험치</t>
    <phoneticPr fontId="3" type="noConversion"/>
  </si>
  <si>
    <t>time_exchange</t>
    <phoneticPr fontId="3" type="noConversion"/>
  </si>
  <si>
    <t>time_min</t>
    <phoneticPr fontId="3" type="noConversion"/>
  </si>
  <si>
    <t>제작 잔여 시간 범위의 최소값</t>
    <phoneticPr fontId="3" type="noConversion"/>
  </si>
  <si>
    <t>time_max</t>
    <phoneticPr fontId="3" type="noConversion"/>
  </si>
  <si>
    <t>제작 잔여 시간 범위의 최대값</t>
    <phoneticPr fontId="3" type="noConversion"/>
  </si>
  <si>
    <t>제작 잔여 시간의 min-max 구간 사이에 있는 시간 값에 따라 토파즈 1개당 시간을 감소시키는 수치</t>
    <phoneticPr fontId="3" type="noConversion"/>
  </si>
  <si>
    <t>사용하는 시간 단위( 참고용 데이터 )</t>
    <phoneticPr fontId="3" type="noConversion"/>
  </si>
  <si>
    <t>topaz_exchange_rate의 비율이 적용되는 아메시스트 최소값</t>
    <phoneticPr fontId="3" type="noConversion"/>
  </si>
  <si>
    <t>topaz_exchange_rate의 비율이 적용되는 아메시스트 최대값</t>
    <phoneticPr fontId="3" type="noConversion"/>
  </si>
  <si>
    <t>MIN-MAX 구간 사이에 있는 아메시스트 구매시 토파즈 1개당 지급하는 아메시스트의 양</t>
    <phoneticPr fontId="3" type="noConversion"/>
  </si>
  <si>
    <t>acid_min</t>
    <phoneticPr fontId="3" type="noConversion"/>
  </si>
  <si>
    <t>topaz_exchange_rate의 비율이 적용되는 애시드 최소값</t>
    <phoneticPr fontId="3" type="noConversion"/>
  </si>
  <si>
    <t>acid_max</t>
    <phoneticPr fontId="3" type="noConversion"/>
  </si>
  <si>
    <t>topaz_exchange_rate의 비율이 적용되는 애시드 최대값</t>
    <phoneticPr fontId="3" type="noConversion"/>
  </si>
  <si>
    <t>애시드의 MIN-MAX 구간 사이에 있는 애시드를 구매시 토파즈 1개당 지급하는 애시드의 양</t>
    <phoneticPr fontId="3" type="noConversion"/>
  </si>
  <si>
    <t>topaz_exchange_rate의 비율이 적용되는 아쿠아 최소값</t>
    <phoneticPr fontId="3" type="noConversion"/>
  </si>
  <si>
    <t>topaz_exchange_rate의 비율이 적용되는 아쿠아 최대값</t>
    <phoneticPr fontId="3" type="noConversion"/>
  </si>
  <si>
    <t>MIN-MAX 구간 사이에 있는 아쿠아를 구매시 토파즈 1개당 지급하는 아쿠아의 양</t>
    <phoneticPr fontId="3" type="noConversion"/>
  </si>
  <si>
    <t>topaz_exchange_rate의 비율이 적용되는 다크메터의 최소값</t>
    <phoneticPr fontId="3" type="noConversion"/>
  </si>
  <si>
    <t>topaz_exchange_rate의 비율이 적용되는 다크메터의 최대값</t>
    <phoneticPr fontId="3" type="noConversion"/>
  </si>
  <si>
    <t>MIN-MAX 구간 사이에 있는 자원 값을 구매시 토파즈 1개당 지급하는 다크메터의 양</t>
    <phoneticPr fontId="3" type="noConversion"/>
  </si>
  <si>
    <t>상점에서 사용하는 ID</t>
    <phoneticPr fontId="3" type="noConversion"/>
  </si>
  <si>
    <t>판매할 빌딩 그룹 ID</t>
    <phoneticPr fontId="3" type="noConversion"/>
  </si>
  <si>
    <t>주석</t>
    <phoneticPr fontId="3" type="noConversion"/>
  </si>
  <si>
    <t>빌딩 구매 비용 종류</t>
    <phoneticPr fontId="3" type="noConversion"/>
  </si>
  <si>
    <t xml:space="preserve">빌딩 구매 비용 </t>
    <phoneticPr fontId="3" type="noConversion"/>
  </si>
  <si>
    <t>building_time</t>
    <phoneticPr fontId="3" type="noConversion"/>
  </si>
  <si>
    <t>빌딩 건설 시간</t>
    <phoneticPr fontId="3" type="noConversion"/>
  </si>
  <si>
    <t>반복구매에 의한 비용 상승 구조( +%)</t>
    <phoneticPr fontId="3" type="noConversion"/>
  </si>
  <si>
    <t>계정 생성시 기본적으로 지급되는 수량</t>
    <phoneticPr fontId="3" type="noConversion"/>
  </si>
  <si>
    <t>상점용 아이콘</t>
    <phoneticPr fontId="3" type="noConversion"/>
  </si>
  <si>
    <t>상점용 설명(별도 분리시)</t>
    <phoneticPr fontId="3" type="noConversion"/>
  </si>
  <si>
    <t>shop_type</t>
    <phoneticPr fontId="3" type="noConversion"/>
  </si>
  <si>
    <t>상점 카테고리(자원, 군사, 방어)</t>
    <phoneticPr fontId="3" type="noConversion"/>
  </si>
  <si>
    <t>첫 건설 시 건설 시간 m</t>
    <phoneticPr fontId="3" type="noConversion"/>
  </si>
  <si>
    <t>shop_recharge_resource</t>
    <phoneticPr fontId="3" type="noConversion"/>
  </si>
  <si>
    <t>상점 상품 ID</t>
    <phoneticPr fontId="3" type="noConversion"/>
  </si>
  <si>
    <t>지급하는 재화 타입
1 : 아메
2 : 애시드
3 : 아쿠아</t>
    <phoneticPr fontId="3" type="noConversion"/>
  </si>
  <si>
    <t>지급하는 저장소 비율(% 값, int)</t>
    <phoneticPr fontId="3" type="noConversion"/>
  </si>
  <si>
    <t>각 자원 환율 대비 배율(% 값, int)</t>
    <phoneticPr fontId="3" type="noConversion"/>
  </si>
  <si>
    <t>상점 상품 ID</t>
  </si>
  <si>
    <t>topaz</t>
    <phoneticPr fontId="3" type="noConversion"/>
  </si>
  <si>
    <t>지급할 토파즈 수량</t>
  </si>
  <si>
    <t>google_price_ID</t>
    <phoneticPr fontId="3" type="noConversion"/>
  </si>
  <si>
    <t>구글  가격 아이디</t>
  </si>
  <si>
    <t>(int)부스트 대상 빌딩 id</t>
    <phoneticPr fontId="3" type="noConversion"/>
  </si>
  <si>
    <t>bd_group_id</t>
    <phoneticPr fontId="3" type="noConversion"/>
  </si>
  <si>
    <t>(int)빌딩 그룹id</t>
    <phoneticPr fontId="3" type="noConversion"/>
  </si>
  <si>
    <t xml:space="preserve">(string)건물 이름 </t>
    <phoneticPr fontId="3" type="noConversion"/>
  </si>
  <si>
    <t>(float)부스트 기능 사용 시, 적용되는 시간</t>
    <phoneticPr fontId="3" type="noConversion"/>
  </si>
  <si>
    <t>boost_time_type</t>
    <phoneticPr fontId="3" type="noConversion"/>
  </si>
  <si>
    <t>(string)부스트 기능 적용 시간 단위 (H)</t>
    <phoneticPr fontId="3" type="noConversion"/>
  </si>
  <si>
    <t>(int)부스트 기능을 사용하는데 소모되는 토파즈의 양</t>
    <phoneticPr fontId="3" type="noConversion"/>
  </si>
  <si>
    <t>(float)부스트 기능 사용 시, 빨라지는 시간의 배속 비율</t>
    <phoneticPr fontId="3" type="noConversion"/>
  </si>
  <si>
    <t>limit_cp_level</t>
    <phoneticPr fontId="3" type="noConversion"/>
  </si>
  <si>
    <t>(int)부스트 기능을 사용 할 수 있는 CP 제한 레벨</t>
    <phoneticPr fontId="3" type="noConversion"/>
  </si>
  <si>
    <t>(int)건물 개별 아이디</t>
  </si>
  <si>
    <t xml:space="preserve">(string)건물 이름 </t>
  </si>
  <si>
    <t>user_cp_lv</t>
  </si>
  <si>
    <t>(int)사용자의 cp 레벨</t>
  </si>
  <si>
    <t>(float)가속 사용 시 유지 시간</t>
  </si>
  <si>
    <t>(string) 단위: H / 가속 사용 시 기준 시간 단위</t>
  </si>
  <si>
    <t>(int)리차저 스테이션 1개당 토파즈 소모 비용</t>
  </si>
  <si>
    <t>(float)부스트 사용 시, 배속 비율</t>
  </si>
  <si>
    <t>boost_using</t>
  </si>
  <si>
    <t>(bool)CP레벨 기준으로 리차징 스테이션에 부스트 적용 여부 판단 ( 0: 안함 / 1: 적용 함 )</t>
  </si>
  <si>
    <t xml:space="preserve">parts_rank </t>
    <phoneticPr fontId="3" type="noConversion"/>
  </si>
  <si>
    <t>아바타 파츠 랭크 기준</t>
    <phoneticPr fontId="3" type="noConversion"/>
  </si>
  <si>
    <t xml:space="preserve">promotion_probability </t>
    <phoneticPr fontId="3" type="noConversion"/>
  </si>
  <si>
    <t>승급 확률 (% * 100)</t>
    <phoneticPr fontId="3" type="noConversion"/>
  </si>
  <si>
    <t xml:space="preserve">fixed_probability_cost </t>
    <phoneticPr fontId="3" type="noConversion"/>
  </si>
  <si>
    <t>확정승급 비용(darkmatter)</t>
  </si>
  <si>
    <t>파츠 개별 아이디</t>
    <phoneticPr fontId="3" type="noConversion"/>
  </si>
  <si>
    <t>파츠 그룹 아이디</t>
    <phoneticPr fontId="3" type="noConversion"/>
  </si>
  <si>
    <t>파츠 타입</t>
    <phoneticPr fontId="3" type="noConversion"/>
  </si>
  <si>
    <t>파츠 랭크(n성)</t>
    <phoneticPr fontId="3" type="noConversion"/>
  </si>
  <si>
    <t>강화 레벨</t>
    <phoneticPr fontId="3" type="noConversion"/>
  </si>
  <si>
    <t>강화 및 승급시 필요한 darkmatter 자원 수치</t>
    <phoneticPr fontId="3" type="noConversion"/>
  </si>
  <si>
    <t xml:space="preserve">강화 시 소요되는 시간 ( 단위 : H) </t>
    <phoneticPr fontId="3" type="noConversion"/>
  </si>
  <si>
    <t>아바타 파츠를 연구 가능한 아바타랩 제한 레벨</t>
    <phoneticPr fontId="3" type="noConversion"/>
  </si>
  <si>
    <t xml:space="preserve">완파시 적용할 리차징 타임 데이터 ( 단위 : S ) </t>
    <phoneticPr fontId="3" type="noConversion"/>
  </si>
  <si>
    <t>아바타 파츠 카드에 표시할 아이콘 리소스</t>
    <phoneticPr fontId="3" type="noConversion"/>
  </si>
  <si>
    <t>아바타 파츠 리소스 스킨 연결용 데이터</t>
    <phoneticPr fontId="3" type="noConversion"/>
  </si>
  <si>
    <t>아바타 파츠 공격용 애니</t>
    <phoneticPr fontId="3" type="noConversion"/>
  </si>
  <si>
    <t>틱 : 공격 애니메이션 재생 시 타격판정 하는 타이밍.</t>
  </si>
  <si>
    <t>bool : 0일경우 근접타격 애니메이션 출력시 타격 타이밍 제어. 1일 경우 투사체 충돌시에 타격 판정</t>
  </si>
  <si>
    <t>아바타 파츠 배틀필드 상 idle 애니</t>
    <phoneticPr fontId="3" type="noConversion"/>
  </si>
  <si>
    <t>아바타 파츠 거라지 상 idle 애니</t>
    <phoneticPr fontId="3" type="noConversion"/>
  </si>
  <si>
    <t>아바타 파츠 거라지 내 파츠 교체시 출력 연출 애니메이션</t>
    <phoneticPr fontId="3" type="noConversion"/>
  </si>
  <si>
    <t>아바타 걷기 애니메이션</t>
    <phoneticPr fontId="3" type="noConversion"/>
  </si>
  <si>
    <t>아바타 hp</t>
    <phoneticPr fontId="3" type="noConversion"/>
  </si>
  <si>
    <t>아바타 무게</t>
    <phoneticPr fontId="3" type="noConversion"/>
  </si>
  <si>
    <t>공격거리</t>
    <phoneticPr fontId="3" type="noConversion"/>
  </si>
  <si>
    <t>공격 방식( 공중, 지상 )</t>
    <phoneticPr fontId="3" type="noConversion"/>
  </si>
  <si>
    <t>투사체 id</t>
    <phoneticPr fontId="3" type="noConversion"/>
  </si>
  <si>
    <t>공격 선딜레이</t>
    <phoneticPr fontId="3" type="noConversion"/>
  </si>
  <si>
    <t>공격 스피드</t>
    <phoneticPr fontId="3" type="noConversion"/>
  </si>
  <si>
    <t>아바타 텍스트 키</t>
    <phoneticPr fontId="3" type="noConversion"/>
  </si>
  <si>
    <t>업그레이드 시간 단위 정보</t>
    <phoneticPr fontId="3" type="noConversion"/>
  </si>
  <si>
    <t>재충전 시간 단위 정보</t>
    <phoneticPr fontId="3" type="noConversion"/>
  </si>
  <si>
    <t>강화 시 소요되는 시간 : 분</t>
    <phoneticPr fontId="3" type="noConversion"/>
  </si>
  <si>
    <t>스킬 효과 : 공격력 증가, 이동속도 증가, 방어력 증가 등</t>
    <phoneticPr fontId="3" type="noConversion"/>
  </si>
  <si>
    <t>스킨 아이콘 이름</t>
    <phoneticPr fontId="3" type="noConversion"/>
  </si>
  <si>
    <t xml:space="preserve">서킷 위치 </t>
    <phoneticPr fontId="3" type="noConversion"/>
  </si>
  <si>
    <t>스킬 거리 : 범위형으로 동작하는 스킬의 경우(패럴라이저 등) 아바타로 부터 그리드 단위로 범위</t>
    <phoneticPr fontId="3" type="noConversion"/>
  </si>
  <si>
    <t>스킬이 동작하는 시간(sec)</t>
    <phoneticPr fontId="3" type="noConversion"/>
  </si>
  <si>
    <t>스킬에서 사용하는 값(공격력 증가량, 이동속도 증가량, 방어력 증가량 등..)</t>
    <phoneticPr fontId="3" type="noConversion"/>
  </si>
  <si>
    <t>공통</t>
    <phoneticPr fontId="3" type="noConversion"/>
  </si>
  <si>
    <t>강화 시 소요되는 시간 단위 : hour</t>
  </si>
  <si>
    <t>완파시 적용할 리차징 타임 데이터 단위(단위 : S )</t>
  </si>
  <si>
    <t>스킬이 동작하는 시간 단위 .s</t>
    <phoneticPr fontId="3" type="noConversion"/>
  </si>
  <si>
    <t>강화 시 소요되는 시간 ( 단위 : h )</t>
    <phoneticPr fontId="3" type="noConversion"/>
  </si>
  <si>
    <t xml:space="preserve">완파시 적용할 리차징 타임 데이터(단위: S ) </t>
    <phoneticPr fontId="3" type="noConversion"/>
  </si>
  <si>
    <t>아바타 파츠 이동 중 애니메이션</t>
    <phoneticPr fontId="3" type="noConversion"/>
  </si>
  <si>
    <t>아바타 파괴 애니메이션</t>
    <phoneticPr fontId="3" type="noConversion"/>
  </si>
  <si>
    <t>생명력</t>
    <phoneticPr fontId="3" type="noConversion"/>
  </si>
  <si>
    <t>무게</t>
    <phoneticPr fontId="3" type="noConversion"/>
  </si>
  <si>
    <t>아바타 전체의 무게가 헤드바디의 weightcap을 넘길경우 슬롯저장 및 출력 불가</t>
    <phoneticPr fontId="3" type="noConversion"/>
  </si>
  <si>
    <t>활동시간. 아바타 투입 후 아바타가 철수하기 까지의 시간. 전투중 아바타 사용 가능 시간</t>
    <phoneticPr fontId="3" type="noConversion"/>
  </si>
  <si>
    <t>방어력( 무조건 0 )</t>
    <phoneticPr fontId="3" type="noConversion"/>
  </si>
  <si>
    <t>텍스트키</t>
    <phoneticPr fontId="3" type="noConversion"/>
  </si>
  <si>
    <t>강화 시 소요되는 시간 단위 : hour</t>
    <phoneticPr fontId="3" type="noConversion"/>
  </si>
  <si>
    <t>완파시 적용할 리차징 타임 데이터 단위(단위 : S )</t>
    <phoneticPr fontId="3" type="noConversion"/>
  </si>
  <si>
    <t>활동 가능 시간 단위 s</t>
    <phoneticPr fontId="3" type="noConversion"/>
  </si>
  <si>
    <t>아바타 발 밑 기준 Y좌표 (그리드 셀 단위. float) , 탄이 날아와서 박히는 위치</t>
    <phoneticPr fontId="3" type="noConversion"/>
  </si>
  <si>
    <t>이동속도</t>
    <phoneticPr fontId="3" type="noConversion"/>
  </si>
  <si>
    <t>타겟 스킬 사용 쿨타임</t>
    <phoneticPr fontId="3" type="noConversion"/>
  </si>
  <si>
    <t>타겟 스킬 쿨타임 시간 기준</t>
    <phoneticPr fontId="3" type="noConversion"/>
  </si>
  <si>
    <t>(int)투사체 id</t>
  </si>
  <si>
    <t>(float)스플래시 데미지 범위 _ 0인 경우 스플래시 없음</t>
  </si>
  <si>
    <t>(float)스플래시 데미지</t>
  </si>
  <si>
    <t>(float)cell/sec ,  투사체 속도</t>
  </si>
  <si>
    <t>(bool)유도 가능 여부</t>
  </si>
  <si>
    <t>(string)투사체 리소스</t>
  </si>
  <si>
    <t>유저의 CP레벨 기준</t>
    <phoneticPr fontId="3" type="noConversion"/>
  </si>
  <si>
    <t>CP레벨 별 무게용량 게이지 최대치</t>
    <phoneticPr fontId="3" type="noConversion"/>
  </si>
  <si>
    <t>CP레벨 별 초당 피해 게이지 최대치</t>
    <phoneticPr fontId="3" type="noConversion"/>
  </si>
  <si>
    <t>CP레벨 별 이동 속도 게이지 최대치</t>
    <phoneticPr fontId="3" type="noConversion"/>
  </si>
  <si>
    <t>CP레벨 별 아바타 활동시간 게이지 최대치</t>
    <phoneticPr fontId="3" type="noConversion"/>
  </si>
  <si>
    <t>CP레벨 별 아바타 타겟팅 쿨타임 게이지 최대치</t>
    <phoneticPr fontId="3" type="noConversion"/>
  </si>
  <si>
    <t>CP레벨 별 서킷 어빌리티 적용 시간 게이지 최대치</t>
    <phoneticPr fontId="3" type="noConversion"/>
  </si>
  <si>
    <t>skill_value_gauge_max</t>
    <phoneticPr fontId="3" type="noConversion"/>
  </si>
  <si>
    <t>CP레벨 별 서킷 어빌리티 값 게이지 최대치</t>
    <phoneticPr fontId="3" type="noConversion"/>
  </si>
  <si>
    <t>수량 적용 대상 빌딩 그룹 id</t>
  </si>
  <si>
    <t>각 cp레벨 별 보유할 수 있는 숫자</t>
  </si>
  <si>
    <t>빌딩 ID</t>
  </si>
  <si>
    <t>빌딩 그룹 ID</t>
  </si>
  <si>
    <t>빌딩 레벨</t>
  </si>
  <si>
    <t>빌딩 HP</t>
  </si>
  <si>
    <t>빌딩이 차지하는 영역의 한 변의 그리드 수</t>
  </si>
  <si>
    <t>빌딩 타입</t>
  </si>
  <si>
    <t xml:space="preserve">빌딩 그룹 타입(대분류) 빌딩 그룹ID와 관계 없음 </t>
  </si>
  <si>
    <t>업그레이드 및 건설 시 사용하는 리소스 종류</t>
  </si>
  <si>
    <t>업그레이드 및 건설 시 사용하는 리소스 양</t>
  </si>
  <si>
    <t>업그레이드 및 건설 시 소요되는 시간(m)</t>
  </si>
  <si>
    <t>업그레이드 시 필요한 유저 레벨 제한(CP만 사용)</t>
  </si>
  <si>
    <t>업그레이드 시 필요한 CP 레벨 제한</t>
  </si>
  <si>
    <t>ame_max_capacity</t>
  </si>
  <si>
    <t>아메시스트 최대 저장량(자원 수집기의 경우 최대 임시저장량)</t>
  </si>
  <si>
    <t>acid_max_capacity</t>
  </si>
  <si>
    <t>애시드 최대 저장량(자원 수집기의 경우 최대 임시저장량)</t>
  </si>
  <si>
    <t>aqua_max_capacity</t>
  </si>
  <si>
    <t>아쿠아 죄대 저장량(자원 수집기의 경우 최대 임시저장량)</t>
  </si>
  <si>
    <t>획득 자원 타입</t>
  </si>
  <si>
    <t>gain_quantity</t>
  </si>
  <si>
    <t>시간당 획득 자원량(h)</t>
  </si>
  <si>
    <t>gain_icon_quantity</t>
  </si>
  <si>
    <t>자원 수집기 상단에 자원 수령 아이콘이 표시되는 최저 수량 ( 최대 저장량의 2-3% )</t>
  </si>
  <si>
    <t>건물을 통해 획득할 수 있는 유닛 인구수(지원무기 연구소의 경우 지원무기 인구수)</t>
  </si>
  <si>
    <t>인식 범위(Normal 테이블에선  UC 건물만 사용)</t>
  </si>
  <si>
    <t>is_moveable</t>
  </si>
  <si>
    <t xml:space="preserve">이동이 가능한 건물인지 bool </t>
  </si>
  <si>
    <t>아이콘</t>
  </si>
  <si>
    <t>프리팹</t>
  </si>
  <si>
    <t>아이들 애니</t>
  </si>
  <si>
    <t xml:space="preserve">빌딩과 연결될 바텀부분의 애니메이션 레벨 </t>
  </si>
  <si>
    <t>빌딩과 연결될 탑 부분의 애니메이션 레벨 ( 탑 애니 없을 시 0으로 표기 )</t>
  </si>
  <si>
    <t>텍스트 키 연결</t>
  </si>
  <si>
    <t>building_time_type</t>
  </si>
  <si>
    <t>빌딩 타임의 시간 단위</t>
  </si>
  <si>
    <t>gain_quantity_type</t>
  </si>
  <si>
    <t xml:space="preserve">시간당 획득 자원량의 시간 기준 </t>
  </si>
  <si>
    <t>side_ani_01</t>
  </si>
  <si>
    <t>일반화된 애니메이션 4종 이외에 추가 애니메이션이 더 필요한 경우 사용하는 애니</t>
  </si>
  <si>
    <t>side_ani_02</t>
  </si>
  <si>
    <t>빌딩 ID</t>
    <phoneticPr fontId="3" type="noConversion"/>
  </si>
  <si>
    <t>빌딩 그룹 ID</t>
    <phoneticPr fontId="3" type="noConversion"/>
  </si>
  <si>
    <t>빌딩 레벨</t>
    <phoneticPr fontId="3" type="noConversion"/>
  </si>
  <si>
    <t>빌딩 HP</t>
    <phoneticPr fontId="3" type="noConversion"/>
  </si>
  <si>
    <t>빌딩이 차지하는 영역의 한 변의 그리드 수</t>
    <phoneticPr fontId="3" type="noConversion"/>
  </si>
  <si>
    <t>빌딩 타입</t>
    <phoneticPr fontId="3" type="noConversion"/>
  </si>
  <si>
    <t>업그레이드 시 소요되는 자원 종류</t>
    <phoneticPr fontId="3" type="noConversion"/>
  </si>
  <si>
    <t>업그레이드 시 소요되는 자원 양</t>
    <phoneticPr fontId="3" type="noConversion"/>
  </si>
  <si>
    <t>건설하거나 업그레이드 시 소요되는 시간</t>
    <phoneticPr fontId="3" type="noConversion"/>
  </si>
  <si>
    <t>최초 건설 시 필요한 CP 레벨</t>
    <phoneticPr fontId="3" type="noConversion"/>
  </si>
  <si>
    <t>타겟 형식 :
0 = 범위내 전체 적용
1 = 싱글타겟
n = 범위내 최대 n개 까지</t>
    <phoneticPr fontId="3" type="noConversion"/>
  </si>
  <si>
    <t xml:space="preserve"> 선호타겟 : 
unit_group_ID로 구분</t>
    <phoneticPr fontId="3" type="noConversion"/>
  </si>
  <si>
    <t>타겟 위치 :
0 = ground
1 = air
2 = ground &amp; air</t>
    <phoneticPr fontId="3" type="noConversion"/>
  </si>
  <si>
    <t>타워가 타겟을 서치하는 인터벌(float, sec)</t>
    <phoneticPr fontId="3" type="noConversion"/>
  </si>
  <si>
    <t>최초 공격 전 선딜레이</t>
    <phoneticPr fontId="3" type="noConversion"/>
  </si>
  <si>
    <t>공격간 인터벌(float)</t>
    <phoneticPr fontId="3" type="noConversion"/>
  </si>
  <si>
    <t>한번 공격시 최대 공격횟수( 타겟 사망이나 타겟을 잃어버릴 시에는 초기화 된다)
attack_count_limit가 0인경우, attack_break_time값이 후딜레이 형태로 사용된다</t>
    <phoneticPr fontId="3" type="noConversion"/>
  </si>
  <si>
    <r>
      <t xml:space="preserve">attack_count_limit를 채우고 난 후 휴식 시간
attack_count_limit가 0인경우 </t>
    </r>
    <r>
      <rPr>
        <sz val="11"/>
        <color rgb="FFFF0000"/>
        <rFont val="맑은 고딕"/>
        <family val="3"/>
        <charset val="129"/>
        <scheme val="minor"/>
      </rPr>
      <t>attack_break_time값이 후딜레이 형태로 사용된다 : 타겟이 소멸하고 난 후, 타겟 서치전 attack_break_time 만큼 딜레이를 준다</t>
    </r>
    <phoneticPr fontId="3" type="noConversion"/>
  </si>
  <si>
    <t>인식 범위</t>
    <phoneticPr fontId="3" type="noConversion"/>
  </si>
  <si>
    <t>공격거리 최소</t>
    <phoneticPr fontId="3" type="noConversion"/>
  </si>
  <si>
    <t>공격거리 최대</t>
    <phoneticPr fontId="3" type="noConversion"/>
  </si>
  <si>
    <t>공격 타입 :
각 타워마다 가질 수 있는 공격 타입
range, artillary 등등…</t>
    <phoneticPr fontId="3" type="noConversion"/>
  </si>
  <si>
    <t>공격력(float)</t>
    <phoneticPr fontId="3" type="noConversion"/>
  </si>
  <si>
    <t>투사체 ID</t>
    <phoneticPr fontId="3" type="noConversion"/>
  </si>
  <si>
    <t>총열이 결정된 타겟을 추정하는지 : bool</t>
    <phoneticPr fontId="3" type="noConversion"/>
  </si>
  <si>
    <t>발사이펙트 관련 중심점에 대한 포구 오프셋</t>
    <phoneticPr fontId="3" type="noConversion"/>
  </si>
  <si>
    <t>프리팹</t>
    <phoneticPr fontId="3" type="noConversion"/>
  </si>
  <si>
    <t>idle 애니</t>
    <phoneticPr fontId="3" type="noConversion"/>
  </si>
  <si>
    <t>attack 애니</t>
    <phoneticPr fontId="3" type="noConversion"/>
  </si>
  <si>
    <t>동작 애니</t>
    <phoneticPr fontId="3" type="noConversion"/>
  </si>
  <si>
    <t xml:space="preserve">빌딩과 연결될 바텀부분의 애니메이션 레벨 </t>
    <phoneticPr fontId="3" type="noConversion"/>
  </si>
  <si>
    <t>빌딩과 연결될 탑 부분의 애니메이션 레벨 ( 탑 애니 없을 시 0으로 표기 )</t>
    <phoneticPr fontId="3" type="noConversion"/>
  </si>
  <si>
    <t>텍스트 키</t>
    <phoneticPr fontId="3" type="noConversion"/>
  </si>
  <si>
    <t>빌딩 건설 시간 단위 m</t>
    <phoneticPr fontId="3" type="noConversion"/>
  </si>
  <si>
    <t>뷸렛 식별용 ID</t>
  </si>
  <si>
    <t>highangle_fire</t>
  </si>
  <si>
    <t>곡사 형태로 날아가는가</t>
  </si>
  <si>
    <t>is_beam</t>
  </si>
  <si>
    <t>빔 형태인가</t>
  </si>
  <si>
    <t>유닛에게 확정피해를 주는가, 유닛이 있던 위치에 떨어지는가</t>
  </si>
  <si>
    <t>투사체 속도</t>
  </si>
  <si>
    <t>bullet_count</t>
  </si>
  <si>
    <t>투사체 연속 발사 수</t>
  </si>
  <si>
    <t>bullet_interval</t>
  </si>
  <si>
    <t>투사체 연속 발사 시 투사체간 간격</t>
  </si>
  <si>
    <t>bullet_max_height</t>
  </si>
  <si>
    <t>투사체 최대 고도(곡사시에 적용)</t>
  </si>
  <si>
    <t>투사체 피격 시 스플래시 데미지 범위</t>
  </si>
  <si>
    <t>dot_life_time</t>
  </si>
  <si>
    <t>투사체 피격 시 투사체가 소멸하지 않고 남아 있는 시간</t>
  </si>
  <si>
    <t>dot_damage_cycle</t>
  </si>
  <si>
    <t>투사체가 남아 있을 경우 attack_power로 공격을 하는 간격</t>
  </si>
  <si>
    <t>빌딩 그룹 타입(대분류) 빌딩 그룹ID와 관계없음</t>
    <phoneticPr fontId="3" type="noConversion"/>
  </si>
  <si>
    <t>공격간 인터벌</t>
    <phoneticPr fontId="3" type="noConversion"/>
  </si>
  <si>
    <t>텍스트 키 연결</t>
    <phoneticPr fontId="3" type="noConversion"/>
  </si>
  <si>
    <t>빌딩 업그레이드 필요 시간 단위</t>
    <phoneticPr fontId="3" type="noConversion"/>
  </si>
  <si>
    <t>유닛 그룹 id</t>
    <phoneticPr fontId="3" type="noConversion"/>
  </si>
  <si>
    <t>타겟 타입 : 
0 = 범위내 전체 적용
1 = 싱글 타겟
n = 범위내 최대 n개까지 멀티타겟</t>
    <phoneticPr fontId="3" type="noConversion"/>
  </si>
  <si>
    <t>생산에 필요한 팩토리 레벨 제한</t>
    <phoneticPr fontId="3" type="noConversion"/>
  </si>
  <si>
    <t>선호 타겟</t>
    <phoneticPr fontId="3" type="noConversion"/>
  </si>
  <si>
    <t>인구수 점유</t>
    <phoneticPr fontId="3" type="noConversion"/>
  </si>
  <si>
    <t>인지 범위</t>
    <phoneticPr fontId="3" type="noConversion"/>
  </si>
  <si>
    <t>타겟 선정 시 일정 범위 안에 유닛이 있는지 체크하기 위한 범위(셀 단위, float)</t>
    <phoneticPr fontId="3" type="noConversion"/>
  </si>
  <si>
    <t>타겟 설정 후 최초 공격 선딜레이</t>
    <phoneticPr fontId="3" type="noConversion"/>
  </si>
  <si>
    <t>공격 거리 cell</t>
    <phoneticPr fontId="3" type="noConversion"/>
  </si>
  <si>
    <t>유닛 별 고유 공격 타입 :
melee, range 등등..</t>
    <phoneticPr fontId="3" type="noConversion"/>
  </si>
  <si>
    <t>스플래시 범위 cell</t>
    <phoneticPr fontId="3" type="noConversion"/>
  </si>
  <si>
    <t>투사체 속도 cell / sec</t>
    <phoneticPr fontId="3" type="noConversion"/>
  </si>
  <si>
    <t>투사체 리소스</t>
    <phoneticPr fontId="3" type="noConversion"/>
  </si>
  <si>
    <t>이동타입 :
0 = 지상 이동
1 = 공중 레이어 1
2 = 공중 레이어 2(1보다 상위 레이어)</t>
    <phoneticPr fontId="3" type="noConversion"/>
  </si>
  <si>
    <t>이동 속도 cell / sec</t>
    <phoneticPr fontId="3" type="noConversion"/>
  </si>
  <si>
    <t>생산 자원 종류</t>
    <phoneticPr fontId="3" type="noConversion"/>
  </si>
  <si>
    <t>idel 애니메이션</t>
    <phoneticPr fontId="3" type="noConversion"/>
  </si>
  <si>
    <t>walk 애니메이션</t>
    <phoneticPr fontId="3" type="noConversion"/>
  </si>
  <si>
    <t>attack 애니메이션</t>
    <phoneticPr fontId="3" type="noConversion"/>
  </si>
  <si>
    <t>별도 동작 애니메이션이 필요한 경우 사용하는 추가 애니 리소스 ID : animation_list.xlsx 참조</t>
    <phoneticPr fontId="3" type="noConversion"/>
  </si>
  <si>
    <t>틱(int) : 공격 애니메이션 재생 시 타격판정 하는 타이밍.</t>
    <phoneticPr fontId="3" type="noConversion"/>
  </si>
  <si>
    <t>bool : 0일경우 근접타격 애니메이션 출력시 타격 타이밍 제어. 1일 경우 투사체 충돌시에 타격 판정</t>
    <phoneticPr fontId="3" type="noConversion"/>
  </si>
  <si>
    <t>연병장 도열시 사용할 오프셑 데이터(픽셀단위, float)</t>
    <phoneticPr fontId="3" type="noConversion"/>
  </si>
  <si>
    <t>유닛 ID</t>
    <phoneticPr fontId="3" type="noConversion"/>
  </si>
  <si>
    <t>유닛 그룹 ID</t>
    <phoneticPr fontId="3" type="noConversion"/>
  </si>
  <si>
    <t>유닛 레벨</t>
    <phoneticPr fontId="3" type="noConversion"/>
  </si>
  <si>
    <t>레벨 별 유닛 HP</t>
    <phoneticPr fontId="3" type="noConversion"/>
  </si>
  <si>
    <t>레벨 별 유닛 공격력</t>
    <phoneticPr fontId="3" type="noConversion"/>
  </si>
  <si>
    <t>레벨 별 유닛 생산 비용</t>
    <phoneticPr fontId="3" type="noConversion"/>
  </si>
  <si>
    <t>레벨 별 유닛 생산 시간(sec)</t>
    <phoneticPr fontId="3" type="noConversion"/>
  </si>
  <si>
    <t>몇레벨의 애니메이션을 불러올 것인지 결정하는 데이터</t>
    <phoneticPr fontId="3" type="noConversion"/>
  </si>
  <si>
    <t>(string)테이블에서 사용하는 시간의 단위를 표시</t>
  </si>
  <si>
    <t>스페이스캐리어 : 인터셉터 최대 소환 숫자(int)</t>
    <phoneticPr fontId="3" type="noConversion"/>
  </si>
  <si>
    <t xml:space="preserve">생산 시간 단위 </t>
    <phoneticPr fontId="3" type="noConversion"/>
  </si>
  <si>
    <t>upgrade_cost</t>
    <phoneticPr fontId="3" type="noConversion"/>
  </si>
  <si>
    <t>고유 id</t>
  </si>
  <si>
    <t>그룹 id</t>
  </si>
  <si>
    <t>타입 (유닛인지, 서포트 웨폰인지 등.. )</t>
  </si>
  <si>
    <t>레벨</t>
  </si>
  <si>
    <t xml:space="preserve">업그레이드 아모리 제한 레벨 </t>
  </si>
  <si>
    <t>업그레이드에 필요한 리소스 타입</t>
  </si>
  <si>
    <t>업그레이드에 필요한 리소스 수량</t>
  </si>
  <si>
    <t>연구 시간(단위 : h ) / 기존 training_time에서 요청에 의해 research_time으로 변경</t>
  </si>
  <si>
    <t>서포트 웨폰 그룹 id</t>
    <phoneticPr fontId="3" type="noConversion"/>
  </si>
  <si>
    <t>스킬을 생산 시작 할 수 있는 서포트 웨폰 랩 제한 레벨</t>
    <phoneticPr fontId="3" type="noConversion"/>
  </si>
  <si>
    <t>스킬효과</t>
    <phoneticPr fontId="3" type="noConversion"/>
  </si>
  <si>
    <t>점유 스킬인구수</t>
    <phoneticPr fontId="3" type="noConversion"/>
  </si>
  <si>
    <t xml:space="preserve">0 : Building only : 빌딩만 적용
1 : Unit only : 유닛만 적용
2 : All </t>
    <phoneticPr fontId="3" type="noConversion"/>
  </si>
  <si>
    <t>0 : Friend only : 아군만 적용
1 : Foe only : 적군만 적용
2 : All</t>
    <phoneticPr fontId="3" type="noConversion"/>
  </si>
  <si>
    <t>0 : ground
1 : air
2 : All</t>
    <phoneticPr fontId="3" type="noConversion"/>
  </si>
  <si>
    <t>생산에 필요한 자원 종류 1: 아메 2: 애시드 3: 아쿠아</t>
    <phoneticPr fontId="3" type="noConversion"/>
  </si>
  <si>
    <t>서포트 웨폰 id</t>
    <phoneticPr fontId="3" type="noConversion"/>
  </si>
  <si>
    <t>skill_range</t>
    <phoneticPr fontId="3" type="noConversion"/>
  </si>
  <si>
    <t>스킬범위(cell)</t>
    <phoneticPr fontId="3" type="noConversion"/>
  </si>
  <si>
    <t>skill_time</t>
    <phoneticPr fontId="3" type="noConversion"/>
  </si>
  <si>
    <t>지속시간(sec)</t>
    <phoneticPr fontId="3" type="noConversion"/>
  </si>
  <si>
    <t>skill_pulse</t>
    <phoneticPr fontId="3" type="noConversion"/>
  </si>
  <si>
    <t>펄스단위(tick)</t>
    <phoneticPr fontId="3" type="noConversion"/>
  </si>
  <si>
    <t>skill_value_1</t>
    <phoneticPr fontId="3" type="noConversion"/>
  </si>
  <si>
    <t>스킬수치1</t>
    <phoneticPr fontId="3" type="noConversion"/>
  </si>
  <si>
    <t>skill_value_2</t>
    <phoneticPr fontId="3" type="noConversion"/>
  </si>
  <si>
    <t>스킬수치2</t>
    <phoneticPr fontId="3" type="noConversion"/>
  </si>
  <si>
    <t>연구에 필요한 아모리 레벨</t>
    <phoneticPr fontId="3" type="noConversion"/>
  </si>
  <si>
    <t>생산 시간(min)</t>
    <phoneticPr fontId="3" type="noConversion"/>
  </si>
  <si>
    <t>생산시 소비되는 자원량</t>
    <phoneticPr fontId="3" type="noConversion"/>
  </si>
  <si>
    <t>생산 시간의 시간 단위</t>
    <phoneticPr fontId="3" type="noConversion"/>
  </si>
  <si>
    <t>탐사 ID</t>
    <phoneticPr fontId="3" type="noConversion"/>
  </si>
  <si>
    <t>탐사 빌딩 필요 레벨</t>
    <phoneticPr fontId="3" type="noConversion"/>
  </si>
  <si>
    <t>탐사 1회시 소요 시간 단위 : min</t>
    <phoneticPr fontId="3" type="noConversion"/>
  </si>
  <si>
    <t>해당 탐사 진행 시 점유하는 리차저</t>
    <phoneticPr fontId="3" type="noConversion"/>
  </si>
  <si>
    <t xml:space="preserve"> 최소 획득 자원수</t>
    <phoneticPr fontId="3" type="noConversion"/>
  </si>
  <si>
    <t>최대 획득 자원수</t>
    <phoneticPr fontId="3" type="noConversion"/>
  </si>
  <si>
    <t xml:space="preserve">탐사 1회시 소요 시간의 시간 단위 </t>
    <phoneticPr fontId="3" type="noConversion"/>
  </si>
  <si>
    <t>object_ID</t>
    <phoneticPr fontId="3" type="noConversion"/>
  </si>
  <si>
    <t>(int)스테이지 내에 세팅된 해당 건물의 id ( 10000번대 사용 )</t>
    <phoneticPr fontId="3" type="noConversion"/>
  </si>
  <si>
    <t>stage_ID</t>
    <phoneticPr fontId="3" type="noConversion"/>
  </si>
  <si>
    <t>(int)스테이지 id</t>
    <phoneticPr fontId="3" type="noConversion"/>
  </si>
  <si>
    <t>building_group_ID</t>
    <phoneticPr fontId="3" type="noConversion"/>
  </si>
  <si>
    <t xml:space="preserve">(int)빌딩 그룹 id </t>
    <phoneticPr fontId="3" type="noConversion"/>
  </si>
  <si>
    <t>building_lv</t>
    <phoneticPr fontId="3" type="noConversion"/>
  </si>
  <si>
    <t>(int)빌딩 lv</t>
    <phoneticPr fontId="3" type="noConversion"/>
  </si>
  <si>
    <t>(int)빌딩 위치 열 좌표</t>
    <phoneticPr fontId="3" type="noConversion"/>
  </si>
  <si>
    <t>(int)빌딩 위치 행 좌표</t>
    <phoneticPr fontId="3" type="noConversion"/>
  </si>
  <si>
    <t>resource_bd_flag</t>
    <phoneticPr fontId="3" type="noConversion"/>
  </si>
  <si>
    <t xml:space="preserve">(int)해당 건물이 어떤 리소스를 지급하는 빌딩인지 체크 </t>
    <phoneticPr fontId="3" type="noConversion"/>
  </si>
  <si>
    <t>(int)싱글 미션 스테이지 id</t>
    <phoneticPr fontId="3" type="noConversion"/>
  </si>
  <si>
    <t>(int)single_stage_text 참조</t>
    <phoneticPr fontId="3" type="noConversion"/>
  </si>
  <si>
    <t>(int)싱글 미션 오픈 조건( 해금 조건 )</t>
    <phoneticPr fontId="3" type="noConversion"/>
  </si>
  <si>
    <t>give_Amethyst</t>
    <phoneticPr fontId="3" type="noConversion"/>
  </si>
  <si>
    <t>(int)아메시스트 지급량</t>
    <phoneticPr fontId="3" type="noConversion"/>
  </si>
  <si>
    <t>give_Acid</t>
    <phoneticPr fontId="3" type="noConversion"/>
  </si>
  <si>
    <t>(int)애시드 지급량</t>
    <phoneticPr fontId="3" type="noConversion"/>
  </si>
  <si>
    <t>give_Aquajelly</t>
    <phoneticPr fontId="3" type="noConversion"/>
  </si>
  <si>
    <t>(int)아쿠아젤리 지급량</t>
    <phoneticPr fontId="3" type="noConversion"/>
  </si>
  <si>
    <t>(int)토파즈 지급량</t>
    <phoneticPr fontId="3" type="noConversion"/>
  </si>
  <si>
    <t xml:space="preserve">(int)권장 레벨 </t>
    <phoneticPr fontId="3" type="noConversion"/>
  </si>
  <si>
    <t>기획_desc</t>
    <phoneticPr fontId="3" type="noConversion"/>
  </si>
  <si>
    <t>기획_Desc</t>
    <phoneticPr fontId="3" type="noConversion"/>
  </si>
  <si>
    <t xml:space="preserve"> desc</t>
    <phoneticPr fontId="3" type="noConversion"/>
  </si>
  <si>
    <t>서버 컨피그</t>
    <phoneticPr fontId="3" type="noConversion"/>
  </si>
  <si>
    <t>유저 데이터 세팅</t>
    <phoneticPr fontId="3" type="noConversion"/>
  </si>
  <si>
    <t>유저 계정 생성 시, 최초 생성하는 빌딩</t>
    <phoneticPr fontId="3" type="noConversion"/>
  </si>
  <si>
    <t>멀티전투 승패에 따라 가감되는 계급 포인트 량</t>
    <phoneticPr fontId="3" type="noConversion"/>
  </si>
  <si>
    <t xml:space="preserve">사용자 계급 구분 데이터 </t>
    <phoneticPr fontId="3" type="noConversion"/>
  </si>
  <si>
    <t>연승/연패 시 획득하게 되는 계급 포인트량</t>
    <phoneticPr fontId="3" type="noConversion"/>
  </si>
  <si>
    <t>승률에 따라 지급되는 포인트 량</t>
    <phoneticPr fontId="3" type="noConversion"/>
  </si>
  <si>
    <t>userdata_preset</t>
  </si>
  <si>
    <t>start_user_building</t>
  </si>
  <si>
    <t>league_point_basic</t>
  </si>
  <si>
    <t>exp</t>
  </si>
  <si>
    <t>ame_exchange</t>
  </si>
  <si>
    <t>aqua_exchange</t>
  </si>
  <si>
    <t>darkmatter_exchange</t>
  </si>
  <si>
    <t>shop_building</t>
  </si>
  <si>
    <t>shop_recharge_topaz</t>
  </si>
  <si>
    <t>boost_setting</t>
  </si>
  <si>
    <t>boost_recharger</t>
  </si>
  <si>
    <t>avatar_parts_promotion</t>
  </si>
  <si>
    <t>avatar_parts_arm</t>
  </si>
  <si>
    <t>avatar_parts_circuit</t>
  </si>
  <si>
    <t>avatar_parts_hbody</t>
  </si>
  <si>
    <t>avatar_parts_leg</t>
  </si>
  <si>
    <t>avatar_bullet</t>
  </si>
  <si>
    <t>avatar_ui_gauge_max</t>
  </si>
  <si>
    <t>building_maxquantity</t>
  </si>
  <si>
    <t>building_normal</t>
  </si>
  <si>
    <t>building_defence</t>
  </si>
  <si>
    <t>building_defence_bullet</t>
  </si>
  <si>
    <t>building_defence_mode_change</t>
  </si>
  <si>
    <t>unit_grow_up</t>
  </si>
  <si>
    <t>support_weapon_basic</t>
  </si>
  <si>
    <t>support_weapon_grow_up</t>
  </si>
  <si>
    <t>explore</t>
  </si>
  <si>
    <t>single_stage_building</t>
  </si>
  <si>
    <t>single_stage_setting</t>
  </si>
  <si>
    <t>config</t>
  </si>
  <si>
    <t>acid_exchange</t>
  </si>
  <si>
    <t>upgrade_cost</t>
    <phoneticPr fontId="3" type="noConversion"/>
  </si>
  <si>
    <t>unit_basic</t>
    <phoneticPr fontId="3" type="noConversion"/>
  </si>
  <si>
    <t>building_time_type</t>
    <phoneticPr fontId="3" type="noConversion"/>
  </si>
  <si>
    <t>적의 마을에서 약탈 할 수 있는 최대량 제한</t>
    <phoneticPr fontId="3" type="noConversion"/>
  </si>
  <si>
    <t xml:space="preserve">CP 레벨에 따라 제한되는 약탈량 패널티 </t>
    <phoneticPr fontId="3" type="noConversion"/>
  </si>
  <si>
    <t>사용자 계정 레벨 필요 경험치량</t>
    <phoneticPr fontId="3" type="noConversion"/>
  </si>
  <si>
    <t>아메시스트 토파즈 환산 비율</t>
    <phoneticPr fontId="3" type="noConversion"/>
  </si>
  <si>
    <t>시관과 토파즈 환산 비율</t>
    <phoneticPr fontId="3" type="noConversion"/>
  </si>
  <si>
    <t>애시드 토파즈 환산 비율</t>
    <phoneticPr fontId="3" type="noConversion"/>
  </si>
  <si>
    <t>아쿠아 토파즈 환산 비율</t>
    <phoneticPr fontId="3" type="noConversion"/>
  </si>
  <si>
    <t>다크메터 토파즈 환산 비율</t>
    <phoneticPr fontId="3" type="noConversion"/>
  </si>
  <si>
    <t>상점에서 빌딩 판매 시의 가격</t>
    <phoneticPr fontId="3" type="noConversion"/>
  </si>
  <si>
    <t>상점에서 판매하는 자원 테이블</t>
    <phoneticPr fontId="3" type="noConversion"/>
  </si>
  <si>
    <t>상점에서 판매하는 토파즈 테이블</t>
    <phoneticPr fontId="3" type="noConversion"/>
  </si>
  <si>
    <t>자원/훈련 건물에 부스트를 적용 할 때의 테이블</t>
    <phoneticPr fontId="3" type="noConversion"/>
  </si>
  <si>
    <t>리차저에 부스트를 적용 할 때 테이블</t>
    <phoneticPr fontId="3" type="noConversion"/>
  </si>
  <si>
    <t>아바타 승급 확률 및 확정 승급 시 가격</t>
    <phoneticPr fontId="3" type="noConversion"/>
  </si>
  <si>
    <t>아바타 팔 파츠 관련 테이블</t>
    <phoneticPr fontId="3" type="noConversion"/>
  </si>
  <si>
    <t>아파타 서킷 파츠 관련 테이블</t>
    <phoneticPr fontId="3" type="noConversion"/>
  </si>
  <si>
    <t>아바타 hbody 관련 테이블</t>
    <phoneticPr fontId="3" type="noConversion"/>
  </si>
  <si>
    <t>아바타 다리 파츠 관련 테이블</t>
    <phoneticPr fontId="3" type="noConversion"/>
  </si>
  <si>
    <t>아바타 투사체 관련 테이블</t>
    <phoneticPr fontId="3" type="noConversion"/>
  </si>
  <si>
    <t>아바타 성능 최대치 정보 테이블</t>
    <phoneticPr fontId="3" type="noConversion"/>
  </si>
  <si>
    <t>cp 레벨에 따라 지을 수 있는 건물 제한 테이블</t>
    <phoneticPr fontId="3" type="noConversion"/>
  </si>
  <si>
    <t>방어 건물 관련 테이블</t>
    <phoneticPr fontId="3" type="noConversion"/>
  </si>
  <si>
    <t>일반 건물 관련 테이블</t>
    <phoneticPr fontId="3" type="noConversion"/>
  </si>
  <si>
    <t>방어 건물 투사체 관련 테이블</t>
    <phoneticPr fontId="3" type="noConversion"/>
  </si>
  <si>
    <t>방어 건물 중 공중/지상 등의 공격 모드를 변경 할 수 있는 건물 관련  테이블</t>
    <phoneticPr fontId="3" type="noConversion"/>
  </si>
  <si>
    <t>레벨에 따라 변하지 않는 유닛 정보 관련 테이블</t>
    <phoneticPr fontId="3" type="noConversion"/>
  </si>
  <si>
    <t>레벨에 따라 변하는 유닛 정보 관련 테이블</t>
    <phoneticPr fontId="3" type="noConversion"/>
  </si>
  <si>
    <t>유닛/서포트웨폰 연구 비용 및 연구 제한 관련 테이블</t>
    <phoneticPr fontId="3" type="noConversion"/>
  </si>
  <si>
    <t>레벨에 따라 변하지 않는 서포트 웨폰 정보 관련 테이블</t>
    <phoneticPr fontId="3" type="noConversion"/>
  </si>
  <si>
    <t>레벨에 따라 변하는 서포트 웨폰 정보 관련 테이블</t>
    <phoneticPr fontId="3" type="noConversion"/>
  </si>
  <si>
    <t>탐사 관련 테이블</t>
    <phoneticPr fontId="3" type="noConversion"/>
  </si>
  <si>
    <t>attakc_multiple</t>
  </si>
  <si>
    <t>attakc_multiple</t>
    <phoneticPr fontId="3" type="noConversion"/>
  </si>
  <si>
    <t>(float)first_target를 공격 할 때 적용할 배수 량</t>
    <phoneticPr fontId="3" type="noConversion"/>
  </si>
  <si>
    <t>type</t>
    <phoneticPr fontId="3" type="noConversion"/>
  </si>
  <si>
    <t>float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</si>
</sst>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_);_(* \(#,##0\);_(* &quot;-&quot;_);_(@_)"/>
    <numFmt numFmtId="177" formatCode="[$-412]General"/>
  </numFmts>
  <fonts count="45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theme="1"/>
      <name val="나눔고딕"/>
      <family val="2"/>
      <charset val="129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sz val="11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rgb="FFC00000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sz val="9"/>
      <color theme="1"/>
      <name val="굴림"/>
      <family val="2"/>
      <charset val="129"/>
    </font>
    <font>
      <sz val="11"/>
      <color theme="1"/>
      <name val="맑은 고딕"/>
      <family val="2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1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name val="Arial"/>
      <family val="2"/>
    </font>
    <font>
      <u/>
      <sz val="11"/>
      <color rgb="FF0000FF"/>
      <name val="맑은 고딕"/>
      <family val="3"/>
      <charset val="129"/>
    </font>
    <font>
      <sz val="11"/>
      <color theme="1"/>
      <name val="나눔고딕"/>
      <family val="2"/>
      <charset val="129"/>
    </font>
    <font>
      <sz val="11"/>
      <color theme="1"/>
      <name val="맑은 고딕"/>
      <family val="2"/>
      <charset val="134"/>
      <scheme val="minor"/>
    </font>
    <font>
      <u/>
      <sz val="11"/>
      <color theme="10"/>
      <name val="宋体"/>
      <family val="3"/>
      <charset val="134"/>
    </font>
    <font>
      <u/>
      <sz val="11"/>
      <color theme="10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543">
    <xf numFmtId="0" fontId="0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177" fontId="13" fillId="0" borderId="0">
      <alignment vertical="center"/>
    </xf>
    <xf numFmtId="0" fontId="14" fillId="7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5" fillId="0" borderId="0">
      <alignment vertical="center"/>
    </xf>
    <xf numFmtId="0" fontId="1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9" borderId="7" applyNumberFormat="0" applyAlignment="0" applyProtection="0">
      <alignment vertical="center"/>
    </xf>
    <xf numFmtId="0" fontId="26" fillId="10" borderId="8" applyNumberFormat="0" applyAlignment="0" applyProtection="0">
      <alignment vertical="center"/>
    </xf>
    <xf numFmtId="0" fontId="27" fillId="10" borderId="7" applyNumberFormat="0" applyAlignment="0" applyProtection="0">
      <alignment vertical="center"/>
    </xf>
    <xf numFmtId="0" fontId="28" fillId="0" borderId="9" applyNumberFormat="0" applyFill="0" applyAlignment="0" applyProtection="0">
      <alignment vertical="center"/>
    </xf>
    <xf numFmtId="0" fontId="29" fillId="11" borderId="10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5" fillId="12" borderId="11" applyNumberFormat="0" applyFon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2" applyNumberFormat="0" applyFill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7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7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0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17" fillId="0" borderId="0"/>
    <xf numFmtId="176" fontId="5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36" fillId="0" borderId="0"/>
    <xf numFmtId="0" fontId="7" fillId="0" borderId="0">
      <alignment vertical="center"/>
    </xf>
    <xf numFmtId="0" fontId="17" fillId="0" borderId="0"/>
    <xf numFmtId="176" fontId="5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12" borderId="11" applyNumberFormat="0" applyFont="0" applyAlignment="0" applyProtection="0">
      <alignment vertical="center"/>
    </xf>
    <xf numFmtId="0" fontId="37" fillId="0" borderId="0">
      <alignment vertical="top"/>
      <protection locked="0"/>
    </xf>
    <xf numFmtId="0" fontId="1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13" fillId="0" borderId="0">
      <alignment vertical="center"/>
    </xf>
    <xf numFmtId="0" fontId="7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9" fillId="0" borderId="0">
      <alignment vertical="center"/>
    </xf>
    <xf numFmtId="0" fontId="40" fillId="0" borderId="0" applyNumberFormat="0" applyFill="0" applyBorder="0" applyAlignment="0" applyProtection="0">
      <alignment vertical="top"/>
      <protection locked="0"/>
    </xf>
    <xf numFmtId="0" fontId="3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177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177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177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177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177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177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177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177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177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177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177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177" fontId="5" fillId="25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177" fontId="5" fillId="29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177" fontId="5" fillId="3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177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177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177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177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177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177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177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177" fontId="33" fillId="17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177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177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177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177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177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177" fontId="27" fillId="10" borderId="7" applyNumberFormat="0" applyAlignment="0" applyProtection="0">
      <alignment vertical="center"/>
    </xf>
    <xf numFmtId="0" fontId="27" fillId="10" borderId="7" applyNumberFormat="0" applyAlignment="0" applyProtection="0">
      <alignment vertical="center"/>
    </xf>
    <xf numFmtId="177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177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5" fillId="12" borderId="11" applyNumberFormat="0" applyFont="0" applyAlignment="0" applyProtection="0">
      <alignment vertical="center"/>
    </xf>
    <xf numFmtId="177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177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177" fontId="29" fillId="11" borderId="10" applyNumberFormat="0" applyAlignment="0" applyProtection="0">
      <alignment vertical="center"/>
    </xf>
    <xf numFmtId="0" fontId="29" fillId="11" borderId="10" applyNumberFormat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177" fontId="28" fillId="0" borderId="9" applyNumberFormat="0" applyFill="0" applyAlignment="0" applyProtection="0">
      <alignment vertical="center"/>
    </xf>
    <xf numFmtId="0" fontId="28" fillId="0" borderId="9" applyNumberFormat="0" applyFill="0" applyAlignment="0" applyProtection="0">
      <alignment vertical="center"/>
    </xf>
    <xf numFmtId="177" fontId="32" fillId="0" borderId="12" applyNumberFormat="0" applyFill="0" applyAlignment="0" applyProtection="0">
      <alignment vertical="center"/>
    </xf>
    <xf numFmtId="0" fontId="32" fillId="0" borderId="12" applyNumberFormat="0" applyFill="0" applyAlignment="0" applyProtection="0">
      <alignment vertical="center"/>
    </xf>
    <xf numFmtId="177" fontId="25" fillId="9" borderId="7" applyNumberFormat="0" applyAlignment="0" applyProtection="0">
      <alignment vertical="center"/>
    </xf>
    <xf numFmtId="0" fontId="25" fillId="9" borderId="7" applyNumberFormat="0" applyAlignment="0" applyProtection="0">
      <alignment vertical="center"/>
    </xf>
    <xf numFmtId="177" fontId="19" fillId="0" borderId="4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177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177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177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177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177" fontId="15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177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177" fontId="26" fillId="10" borderId="8" applyNumberFormat="0" applyAlignment="0" applyProtection="0">
      <alignment vertical="center"/>
    </xf>
    <xf numFmtId="0" fontId="26" fillId="10" borderId="8" applyNumberFormat="0" applyAlignment="0" applyProtection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/>
    <xf numFmtId="0" fontId="12" fillId="0" borderId="0"/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34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34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34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34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34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34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34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34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34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177" fontId="12" fillId="0" borderId="0">
      <alignment vertical="center"/>
    </xf>
    <xf numFmtId="0" fontId="34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0" fontId="34" fillId="0" borderId="0">
      <alignment vertical="center"/>
    </xf>
    <xf numFmtId="177" fontId="7" fillId="0" borderId="0">
      <alignment vertical="center"/>
    </xf>
    <xf numFmtId="0" fontId="34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34" fillId="0" borderId="0">
      <alignment vertical="center"/>
    </xf>
    <xf numFmtId="0" fontId="34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177" fontId="5" fillId="0" borderId="0">
      <alignment vertical="center"/>
    </xf>
    <xf numFmtId="177" fontId="5" fillId="0" borderId="0">
      <alignment vertical="center"/>
    </xf>
    <xf numFmtId="177" fontId="5" fillId="0" borderId="0">
      <alignment vertical="center"/>
    </xf>
    <xf numFmtId="177" fontId="5" fillId="0" borderId="0">
      <alignment vertical="center"/>
    </xf>
    <xf numFmtId="177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7" fillId="0" borderId="0">
      <alignment vertical="center"/>
    </xf>
    <xf numFmtId="0" fontId="17" fillId="0" borderId="0">
      <alignment vertical="center"/>
    </xf>
    <xf numFmtId="177" fontId="17" fillId="0" borderId="0">
      <alignment vertical="center"/>
    </xf>
    <xf numFmtId="0" fontId="17" fillId="0" borderId="0">
      <alignment vertical="center"/>
    </xf>
    <xf numFmtId="177" fontId="10" fillId="0" borderId="0">
      <alignment vertical="center"/>
    </xf>
    <xf numFmtId="0" fontId="10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0" fillId="0" borderId="0">
      <alignment vertical="center"/>
    </xf>
    <xf numFmtId="0" fontId="10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77" fontId="7" fillId="0" borderId="0">
      <alignment vertical="center"/>
    </xf>
    <xf numFmtId="0" fontId="12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177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77" fontId="7" fillId="0" borderId="0">
      <alignment vertical="center"/>
    </xf>
    <xf numFmtId="0" fontId="12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35" fillId="0" borderId="0">
      <alignment vertical="center"/>
    </xf>
    <xf numFmtId="0" fontId="35" fillId="0" borderId="0">
      <alignment vertical="center"/>
    </xf>
    <xf numFmtId="177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177" fontId="7" fillId="0" borderId="0">
      <alignment vertical="center"/>
    </xf>
    <xf numFmtId="0" fontId="3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35" fillId="0" borderId="0">
      <alignment vertical="center"/>
    </xf>
    <xf numFmtId="0" fontId="35" fillId="0" borderId="0">
      <alignment vertical="center"/>
    </xf>
    <xf numFmtId="177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177" fontId="7" fillId="0" borderId="0">
      <alignment vertical="center"/>
    </xf>
    <xf numFmtId="0" fontId="3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0" fillId="0" borderId="0">
      <alignment vertical="center"/>
    </xf>
    <xf numFmtId="0" fontId="10" fillId="0" borderId="0">
      <alignment vertical="center"/>
    </xf>
    <xf numFmtId="177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7" fillId="0" borderId="0">
      <alignment vertical="center"/>
    </xf>
    <xf numFmtId="0" fontId="10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16" fillId="0" borderId="0">
      <alignment vertical="center"/>
    </xf>
    <xf numFmtId="0" fontId="16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177" fontId="7" fillId="0" borderId="0">
      <alignment vertical="center"/>
    </xf>
    <xf numFmtId="0" fontId="7" fillId="0" borderId="0">
      <alignment vertical="center"/>
    </xf>
    <xf numFmtId="177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2" fillId="0" borderId="0">
      <alignment vertical="center"/>
    </xf>
    <xf numFmtId="0" fontId="13" fillId="0" borderId="0">
      <alignment vertical="center"/>
    </xf>
    <xf numFmtId="0" fontId="39" fillId="0" borderId="0">
      <alignment vertical="center"/>
    </xf>
    <xf numFmtId="177" fontId="7" fillId="0" borderId="0">
      <alignment vertical="center"/>
    </xf>
    <xf numFmtId="177" fontId="5" fillId="0" borderId="0">
      <alignment vertical="center"/>
    </xf>
    <xf numFmtId="177" fontId="5" fillId="0" borderId="0">
      <alignment vertical="center"/>
    </xf>
    <xf numFmtId="177" fontId="17" fillId="0" borderId="0"/>
    <xf numFmtId="177" fontId="41" fillId="0" borderId="0" applyNumberFormat="0" applyFill="0" applyBorder="0" applyAlignment="0" applyProtection="0">
      <alignment vertical="center"/>
    </xf>
    <xf numFmtId="177" fontId="5" fillId="12" borderId="11" applyNumberFormat="0" applyFont="0" applyAlignment="0" applyProtection="0">
      <alignment vertical="center"/>
    </xf>
    <xf numFmtId="0" fontId="7" fillId="0" borderId="0">
      <alignment vertical="center"/>
    </xf>
    <xf numFmtId="0" fontId="17" fillId="0" borderId="0"/>
    <xf numFmtId="176" fontId="5" fillId="0" borderId="0" applyFont="0" applyFill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0" fontId="36" fillId="0" borderId="0"/>
    <xf numFmtId="0" fontId="7" fillId="0" borderId="0">
      <alignment vertical="center"/>
    </xf>
    <xf numFmtId="0" fontId="17" fillId="0" borderId="0"/>
    <xf numFmtId="0" fontId="13" fillId="0" borderId="0">
      <alignment vertical="center"/>
    </xf>
    <xf numFmtId="0" fontId="5" fillId="0" borderId="0">
      <alignment vertical="center"/>
    </xf>
    <xf numFmtId="0" fontId="5" fillId="12" borderId="11" applyNumberFormat="0" applyFont="0" applyAlignment="0" applyProtection="0">
      <alignment vertical="center"/>
    </xf>
    <xf numFmtId="0" fontId="37" fillId="0" borderId="0">
      <alignment vertical="top"/>
      <protection locked="0"/>
    </xf>
    <xf numFmtId="0" fontId="13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177" fontId="7" fillId="0" borderId="0">
      <alignment vertical="center"/>
    </xf>
    <xf numFmtId="177" fontId="5" fillId="0" borderId="0">
      <alignment vertical="center"/>
    </xf>
    <xf numFmtId="177" fontId="5" fillId="0" borderId="0">
      <alignment vertical="center"/>
    </xf>
    <xf numFmtId="177" fontId="17" fillId="0" borderId="0"/>
    <xf numFmtId="177" fontId="41" fillId="0" borderId="0" applyNumberFormat="0" applyFill="0" applyBorder="0" applyAlignment="0" applyProtection="0">
      <alignment vertical="center"/>
    </xf>
    <xf numFmtId="177" fontId="5" fillId="12" borderId="11" applyNumberFormat="0" applyFont="0" applyAlignment="0" applyProtection="0">
      <alignment vertical="center"/>
    </xf>
    <xf numFmtId="0" fontId="7" fillId="0" borderId="0">
      <alignment vertical="center"/>
    </xf>
    <xf numFmtId="0" fontId="17" fillId="0" borderId="0"/>
    <xf numFmtId="176" fontId="5" fillId="0" borderId="0" applyFont="0" applyFill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9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7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0" fillId="0" borderId="0">
      <alignment vertical="center"/>
    </xf>
  </cellStyleXfs>
  <cellXfs count="90">
    <xf numFmtId="0" fontId="0" fillId="0" borderId="0" xfId="0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8" fillId="5" borderId="0" xfId="0" applyFont="1" applyFill="1">
      <alignment vertical="center"/>
    </xf>
    <xf numFmtId="0" fontId="9" fillId="2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5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 wrapText="1"/>
    </xf>
    <xf numFmtId="20" fontId="8" fillId="0" borderId="1" xfId="0" applyNumberFormat="1" applyFont="1" applyBorder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11" fillId="5" borderId="2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8" fillId="5" borderId="2" xfId="0" applyFont="1" applyFill="1" applyBorder="1" applyAlignment="1">
      <alignment vertical="center" wrapText="1"/>
    </xf>
    <xf numFmtId="0" fontId="8" fillId="5" borderId="0" xfId="0" applyFont="1" applyFill="1" applyAlignment="1">
      <alignment vertical="center" wrapText="1"/>
    </xf>
    <xf numFmtId="0" fontId="8" fillId="5" borderId="1" xfId="0" applyFont="1" applyFill="1" applyBorder="1" applyAlignment="1">
      <alignment vertical="center"/>
    </xf>
    <xf numFmtId="0" fontId="0" fillId="0" borderId="0" xfId="0">
      <alignment vertical="center"/>
    </xf>
    <xf numFmtId="0" fontId="10" fillId="0" borderId="0" xfId="0" applyFont="1">
      <alignment vertical="center"/>
    </xf>
    <xf numFmtId="0" fontId="8" fillId="0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42" fillId="35" borderId="1" xfId="0" applyFont="1" applyFill="1" applyBorder="1" applyAlignment="1">
      <alignment horizontal="center" vertical="center" wrapText="1"/>
    </xf>
    <xf numFmtId="0" fontId="1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6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6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14" fontId="0" fillId="0" borderId="1" xfId="0" applyNumberFormat="1" applyBorder="1">
      <alignment vertical="center"/>
    </xf>
    <xf numFmtId="0" fontId="0" fillId="36" borderId="0" xfId="0" applyFill="1">
      <alignment vertical="center"/>
    </xf>
    <xf numFmtId="0" fontId="23" fillId="7" borderId="0" xfId="1369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36" borderId="0" xfId="0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vertical="center" wrapText="1"/>
    </xf>
    <xf numFmtId="0" fontId="0" fillId="0" borderId="1" xfId="0" applyFill="1" applyBorder="1">
      <alignment vertical="center"/>
    </xf>
    <xf numFmtId="0" fontId="5" fillId="36" borderId="1" xfId="0" applyFont="1" applyFill="1" applyBorder="1">
      <alignment vertical="center"/>
    </xf>
    <xf numFmtId="0" fontId="5" fillId="36" borderId="1" xfId="0" applyFont="1" applyFill="1" applyBorder="1" applyAlignment="1">
      <alignment horizontal="right"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right" vertical="center"/>
    </xf>
    <xf numFmtId="0" fontId="43" fillId="0" borderId="1" xfId="0" applyFont="1" applyBorder="1" applyAlignment="1">
      <alignment vertical="center" wrapText="1"/>
    </xf>
    <xf numFmtId="0" fontId="5" fillId="36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0" fillId="36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43" fillId="36" borderId="1" xfId="0" applyFont="1" applyFill="1" applyBorder="1" applyAlignment="1">
      <alignment vertical="center" wrapText="1"/>
    </xf>
    <xf numFmtId="0" fontId="0" fillId="36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3" fillId="7" borderId="1" xfId="1369" applyBorder="1">
      <alignment vertical="center"/>
    </xf>
    <xf numFmtId="0" fontId="24" fillId="8" borderId="1" xfId="1370" applyBorder="1">
      <alignment vertical="center"/>
    </xf>
    <xf numFmtId="0" fontId="23" fillId="0" borderId="1" xfId="1369" applyFill="1" applyBorder="1">
      <alignment vertical="center"/>
    </xf>
    <xf numFmtId="0" fontId="24" fillId="8" borderId="0" xfId="1370">
      <alignment vertical="center"/>
    </xf>
    <xf numFmtId="0" fontId="5" fillId="0" borderId="1" xfId="0" applyFont="1" applyBorder="1" applyAlignment="1">
      <alignment horizontal="left" vertical="center"/>
    </xf>
    <xf numFmtId="0" fontId="23" fillId="7" borderId="11" xfId="1369" applyBorder="1">
      <alignment vertical="center"/>
    </xf>
    <xf numFmtId="0" fontId="43" fillId="0" borderId="1" xfId="0" applyFont="1" applyBorder="1" applyAlignment="1">
      <alignment horizontal="left" vertical="center" wrapText="1"/>
    </xf>
    <xf numFmtId="0" fontId="23" fillId="7" borderId="1" xfId="1369" applyBorder="1" applyAlignment="1">
      <alignment vertical="center" wrapText="1"/>
    </xf>
    <xf numFmtId="0" fontId="0" fillId="36" borderId="1" xfId="0" applyFont="1" applyFill="1" applyBorder="1">
      <alignment vertical="center"/>
    </xf>
    <xf numFmtId="0" fontId="0" fillId="36" borderId="0" xfId="0" applyFont="1" applyFill="1">
      <alignment vertical="center"/>
    </xf>
    <xf numFmtId="0" fontId="0" fillId="0" borderId="1" xfId="0" applyBorder="1" applyAlignment="1">
      <alignment horizontal="center" vertical="center"/>
    </xf>
    <xf numFmtId="0" fontId="0" fillId="36" borderId="14" xfId="0" applyFont="1" applyFill="1" applyBorder="1">
      <alignment vertical="center"/>
    </xf>
    <xf numFmtId="0" fontId="24" fillId="0" borderId="1" xfId="1370" applyFill="1" applyBorder="1">
      <alignment vertical="center"/>
    </xf>
    <xf numFmtId="0" fontId="0" fillId="0" borderId="0" xfId="0" applyFill="1">
      <alignment vertical="center"/>
    </xf>
    <xf numFmtId="0" fontId="24" fillId="0" borderId="0" xfId="1370" applyFill="1">
      <alignment vertical="center"/>
    </xf>
    <xf numFmtId="0" fontId="24" fillId="0" borderId="0" xfId="1370" applyFill="1" applyBorder="1">
      <alignment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</cellXfs>
  <cellStyles count="4543">
    <cellStyle name="20% - 강조색1" xfId="1381" builtinId="30" customBuiltin="1"/>
    <cellStyle name="20% - 강조색1 2" xfId="1513"/>
    <cellStyle name="20% - 강조색1 3" xfId="1514"/>
    <cellStyle name="20% - 강조색2" xfId="1385" builtinId="34" customBuiltin="1"/>
    <cellStyle name="20% - 강조색2 2" xfId="1"/>
    <cellStyle name="20% - 강조색2 2 2" xfId="1515"/>
    <cellStyle name="20% - 강조색2 2 3" xfId="1516"/>
    <cellStyle name="20% - 강조색2 3" xfId="1517"/>
    <cellStyle name="20% - 강조색2 4" xfId="1518"/>
    <cellStyle name="20% - 강조색3" xfId="1389" builtinId="38" customBuiltin="1"/>
    <cellStyle name="20% - 강조색3 2" xfId="2"/>
    <cellStyle name="20% - 강조색3 2 2" xfId="1519"/>
    <cellStyle name="20% - 강조색3 2 3" xfId="1520"/>
    <cellStyle name="20% - 강조색3 3" xfId="1521"/>
    <cellStyle name="20% - 강조색3 4" xfId="1522"/>
    <cellStyle name="20% - 강조색4" xfId="1393" builtinId="42" customBuiltin="1"/>
    <cellStyle name="20% - 강조색4 2" xfId="1523"/>
    <cellStyle name="20% - 강조색4 3" xfId="1524"/>
    <cellStyle name="20% - 강조색5" xfId="1397" builtinId="46" customBuiltin="1"/>
    <cellStyle name="20% - 강조색5 2" xfId="1525"/>
    <cellStyle name="20% - 강조색5 3" xfId="1526"/>
    <cellStyle name="20% - 강조색6" xfId="1401" builtinId="50" customBuiltin="1"/>
    <cellStyle name="20% - 강조색6 2" xfId="1527"/>
    <cellStyle name="20% - 강조색6 3" xfId="1528"/>
    <cellStyle name="40% - 강조색1" xfId="1382" builtinId="31" customBuiltin="1"/>
    <cellStyle name="40% - 강조색1 2" xfId="1529"/>
    <cellStyle name="40% - 강조색1 3" xfId="1530"/>
    <cellStyle name="40% - 강조색2" xfId="1386" builtinId="35" customBuiltin="1"/>
    <cellStyle name="40% - 강조색2 2" xfId="1531"/>
    <cellStyle name="40% - 강조색2 3" xfId="1532"/>
    <cellStyle name="40% - 강조색3" xfId="1390" builtinId="39" customBuiltin="1"/>
    <cellStyle name="40% - 강조색3 2" xfId="1533"/>
    <cellStyle name="40% - 강조색3 3" xfId="1534"/>
    <cellStyle name="40% - 강조색4" xfId="1394" builtinId="43" customBuiltin="1"/>
    <cellStyle name="40% - 강조색4 2" xfId="1535"/>
    <cellStyle name="40% - 강조색4 3" xfId="1536"/>
    <cellStyle name="40% - 강조색5" xfId="1398" builtinId="47" customBuiltin="1"/>
    <cellStyle name="40% - 강조색5 2" xfId="1537"/>
    <cellStyle name="40% - 강조색5 3" xfId="1538"/>
    <cellStyle name="40% - 강조색6" xfId="1402" builtinId="51" customBuiltin="1"/>
    <cellStyle name="40% - 강조색6 2" xfId="1539"/>
    <cellStyle name="40% - 강조색6 3" xfId="1540"/>
    <cellStyle name="60% - 강조색1" xfId="1383" builtinId="32" customBuiltin="1"/>
    <cellStyle name="60% - 강조색1 2" xfId="1541"/>
    <cellStyle name="60% - 강조색1 3" xfId="1542"/>
    <cellStyle name="60% - 강조색2" xfId="1387" builtinId="36" customBuiltin="1"/>
    <cellStyle name="60% - 강조색2 2" xfId="1543"/>
    <cellStyle name="60% - 강조색2 3" xfId="1544"/>
    <cellStyle name="60% - 강조색3" xfId="1391" builtinId="40" customBuiltin="1"/>
    <cellStyle name="60% - 강조색3 2" xfId="1545"/>
    <cellStyle name="60% - 강조색3 3" xfId="1546"/>
    <cellStyle name="60% - 강조색4" xfId="1395" builtinId="44" customBuiltin="1"/>
    <cellStyle name="60% - 강조색4 2" xfId="1547"/>
    <cellStyle name="60% - 강조색4 3" xfId="1548"/>
    <cellStyle name="60% - 강조색5" xfId="1399" builtinId="48" customBuiltin="1"/>
    <cellStyle name="60% - 강조색5 2" xfId="1549"/>
    <cellStyle name="60% - 강조색5 3" xfId="1550"/>
    <cellStyle name="60% - 강조색6" xfId="1403" builtinId="52" customBuiltin="1"/>
    <cellStyle name="60% - 강조색6 2" xfId="1551"/>
    <cellStyle name="60% - 강조색6 3" xfId="1552"/>
    <cellStyle name="Excel Built-in Normal" xfId="6"/>
    <cellStyle name="강조색1" xfId="1380" builtinId="29" customBuiltin="1"/>
    <cellStyle name="강조색1 2" xfId="1553"/>
    <cellStyle name="강조색1 3" xfId="1554"/>
    <cellStyle name="강조색2" xfId="1384" builtinId="33" customBuiltin="1"/>
    <cellStyle name="강조색2 2" xfId="1555"/>
    <cellStyle name="강조색2 3" xfId="1556"/>
    <cellStyle name="강조색3" xfId="1388" builtinId="37" customBuiltin="1"/>
    <cellStyle name="강조색3 2" xfId="1557"/>
    <cellStyle name="강조색3 3" xfId="1558"/>
    <cellStyle name="강조색4" xfId="1392" builtinId="41" customBuiltin="1"/>
    <cellStyle name="강조색4 2" xfId="1559"/>
    <cellStyle name="강조색4 3" xfId="1560"/>
    <cellStyle name="강조색5" xfId="1396" builtinId="45" customBuiltin="1"/>
    <cellStyle name="강조색5 2" xfId="1561"/>
    <cellStyle name="강조색5 3" xfId="1562"/>
    <cellStyle name="강조색6" xfId="1400" builtinId="49" customBuiltin="1"/>
    <cellStyle name="강조색6 2" xfId="1563"/>
    <cellStyle name="강조색6 3" xfId="1564"/>
    <cellStyle name="경고문" xfId="1376" builtinId="11" customBuiltin="1"/>
    <cellStyle name="경고문 2" xfId="1565"/>
    <cellStyle name="경고문 3" xfId="1566"/>
    <cellStyle name="계산" xfId="1373" builtinId="22" customBuiltin="1"/>
    <cellStyle name="계산 2" xfId="1567"/>
    <cellStyle name="계산 3" xfId="1568"/>
    <cellStyle name="나쁨" xfId="1369" builtinId="27" customBuiltin="1"/>
    <cellStyle name="나쁨 2" xfId="7"/>
    <cellStyle name="나쁨 2 2" xfId="1569"/>
    <cellStyle name="나쁨 2 3" xfId="1570"/>
    <cellStyle name="나쁨 3" xfId="1571"/>
    <cellStyle name="나쁨 4" xfId="1572"/>
    <cellStyle name="메모" xfId="1377" builtinId="10" customBuiltin="1"/>
    <cellStyle name="메모 2" xfId="1487"/>
    <cellStyle name="메모 2 2" xfId="4506"/>
    <cellStyle name="메모 2 3" xfId="4515"/>
    <cellStyle name="메모 2 4" xfId="4496"/>
    <cellStyle name="메모 3" xfId="1573"/>
    <cellStyle name="보통" xfId="1370" builtinId="28" customBuiltin="1"/>
    <cellStyle name="보통 2" xfId="1574"/>
    <cellStyle name="보통 3" xfId="1575"/>
    <cellStyle name="설명 텍스트" xfId="1378" builtinId="53" customBuiltin="1"/>
    <cellStyle name="설명 텍스트 2" xfId="1576"/>
    <cellStyle name="설명 텍스트 3" xfId="1577"/>
    <cellStyle name="셀 확인" xfId="1375" builtinId="23" customBuiltin="1"/>
    <cellStyle name="셀 확인 2" xfId="1578"/>
    <cellStyle name="셀 확인 3" xfId="1579"/>
    <cellStyle name="쉼표 [0] 10" xfId="1580"/>
    <cellStyle name="쉼표 [0] 11" xfId="4499"/>
    <cellStyle name="쉼표 [0] 12" xfId="4500"/>
    <cellStyle name="쉼표 [0] 13" xfId="4509"/>
    <cellStyle name="쉼표 [0] 14" xfId="4518"/>
    <cellStyle name="쉼표 [0] 15" xfId="4519"/>
    <cellStyle name="쉼표 [0] 2" xfId="3"/>
    <cellStyle name="쉼표 [0] 2 2" xfId="1477"/>
    <cellStyle name="쉼표 [0] 3" xfId="1404"/>
    <cellStyle name="쉼표 [0] 4" xfId="1405"/>
    <cellStyle name="쉼표 [0] 5" xfId="1479"/>
    <cellStyle name="쉼표 [0] 6" xfId="1484"/>
    <cellStyle name="쉼표 [0] 7" xfId="1498"/>
    <cellStyle name="쉼표 [0] 8" xfId="1511"/>
    <cellStyle name="쉼표 [0] 9" xfId="1512"/>
    <cellStyle name="연결된 셀" xfId="1374" builtinId="24" customBuiltin="1"/>
    <cellStyle name="연결된 셀 2" xfId="1581"/>
    <cellStyle name="연결된 셀 3" xfId="1582"/>
    <cellStyle name="요약" xfId="1379" builtinId="25" customBuiltin="1"/>
    <cellStyle name="요약 2" xfId="1583"/>
    <cellStyle name="요약 3" xfId="1584"/>
    <cellStyle name="입력" xfId="1371" builtinId="20" customBuiltin="1"/>
    <cellStyle name="입력 2" xfId="1585"/>
    <cellStyle name="입력 3" xfId="1586"/>
    <cellStyle name="제목" xfId="1363" builtinId="15" customBuiltin="1"/>
    <cellStyle name="제목 1" xfId="1364" builtinId="16" customBuiltin="1"/>
    <cellStyle name="제목 1 2" xfId="1587"/>
    <cellStyle name="제목 1 3" xfId="1588"/>
    <cellStyle name="제목 2" xfId="1365" builtinId="17" customBuiltin="1"/>
    <cellStyle name="제목 2 2" xfId="1589"/>
    <cellStyle name="제목 2 3" xfId="1590"/>
    <cellStyle name="제목 3" xfId="1366" builtinId="18" customBuiltin="1"/>
    <cellStyle name="제목 3 2" xfId="1591"/>
    <cellStyle name="제목 3 3" xfId="1592"/>
    <cellStyle name="제목 4" xfId="1367" builtinId="19" customBuiltin="1"/>
    <cellStyle name="제목 4 2" xfId="1593"/>
    <cellStyle name="제목 4 3" xfId="1594"/>
    <cellStyle name="제목 5" xfId="1595"/>
    <cellStyle name="제목 6" xfId="1596"/>
    <cellStyle name="좋음" xfId="1368" builtinId="26" customBuiltin="1"/>
    <cellStyle name="좋음 2" xfId="8"/>
    <cellStyle name="좋음 2 2" xfId="1597"/>
    <cellStyle name="좋음 2 3" xfId="1598"/>
    <cellStyle name="좋음 3" xfId="1599"/>
    <cellStyle name="좋음 4" xfId="1600"/>
    <cellStyle name="출력" xfId="1372" builtinId="21" customBuiltin="1"/>
    <cellStyle name="출력 2" xfId="1601"/>
    <cellStyle name="출력 3" xfId="1602"/>
    <cellStyle name="표준" xfId="0" builtinId="0"/>
    <cellStyle name="표준 10" xfId="9"/>
    <cellStyle name="표준 10 2" xfId="1603"/>
    <cellStyle name="표준 10 3" xfId="1604"/>
    <cellStyle name="표준 100" xfId="10"/>
    <cellStyle name="표준 100 10" xfId="934"/>
    <cellStyle name="표준 100 10 2" xfId="1605"/>
    <cellStyle name="표준 100 10 3" xfId="1606"/>
    <cellStyle name="표준 100 11" xfId="1607"/>
    <cellStyle name="표준 100 12" xfId="1608"/>
    <cellStyle name="표준 100 2" xfId="11"/>
    <cellStyle name="표준 100 2 2" xfId="1609"/>
    <cellStyle name="표준 100 2 3" xfId="1610"/>
    <cellStyle name="표준 100 3" xfId="12"/>
    <cellStyle name="표준 100 3 2" xfId="1611"/>
    <cellStyle name="표준 100 3 3" xfId="1612"/>
    <cellStyle name="표준 100 4" xfId="13"/>
    <cellStyle name="표준 100 4 2" xfId="1613"/>
    <cellStyle name="표준 100 4 3" xfId="1614"/>
    <cellStyle name="표준 100 5" xfId="14"/>
    <cellStyle name="표준 100 5 2" xfId="1615"/>
    <cellStyle name="표준 100 5 3" xfId="1616"/>
    <cellStyle name="표준 100 6" xfId="15"/>
    <cellStyle name="표준 100 6 2" xfId="1617"/>
    <cellStyle name="표준 100 6 3" xfId="1618"/>
    <cellStyle name="표준 100 7" xfId="16"/>
    <cellStyle name="표준 100 7 2" xfId="1619"/>
    <cellStyle name="표준 100 7 3" xfId="1620"/>
    <cellStyle name="표준 100 8" xfId="17"/>
    <cellStyle name="표준 100 8 2" xfId="1621"/>
    <cellStyle name="표준 100 8 3" xfId="1622"/>
    <cellStyle name="표준 100 9" xfId="18"/>
    <cellStyle name="표준 100 9 2" xfId="1623"/>
    <cellStyle name="표준 100 9 3" xfId="1624"/>
    <cellStyle name="표준 101" xfId="19"/>
    <cellStyle name="표준 101 2" xfId="935"/>
    <cellStyle name="표준 101 2 2" xfId="1625"/>
    <cellStyle name="표준 101 2 3" xfId="1626"/>
    <cellStyle name="표준 101 3" xfId="1627"/>
    <cellStyle name="표준 101 4" xfId="1628"/>
    <cellStyle name="표준 102" xfId="20"/>
    <cellStyle name="표준 102 2" xfId="21"/>
    <cellStyle name="표준 102 2 2" xfId="1629"/>
    <cellStyle name="표준 102 2 3" xfId="1630"/>
    <cellStyle name="표준 102 3" xfId="1631"/>
    <cellStyle name="표준 102 4" xfId="1632"/>
    <cellStyle name="표준 103" xfId="22"/>
    <cellStyle name="표준 103 2" xfId="936"/>
    <cellStyle name="표준 103 2 2" xfId="1633"/>
    <cellStyle name="표준 103 2 3" xfId="1634"/>
    <cellStyle name="표준 103 3" xfId="1635"/>
    <cellStyle name="표준 103 4" xfId="1636"/>
    <cellStyle name="표준 104" xfId="23"/>
    <cellStyle name="표준 104 10" xfId="937"/>
    <cellStyle name="표준 104 10 2" xfId="1637"/>
    <cellStyle name="표준 104 10 3" xfId="1638"/>
    <cellStyle name="표준 104 11" xfId="1639"/>
    <cellStyle name="표준 104 12" xfId="1640"/>
    <cellStyle name="표준 104 2" xfId="24"/>
    <cellStyle name="표준 104 2 2" xfId="1641"/>
    <cellStyle name="표준 104 2 3" xfId="1642"/>
    <cellStyle name="표준 104 3" xfId="25"/>
    <cellStyle name="표준 104 3 2" xfId="1643"/>
    <cellStyle name="표준 104 3 3" xfId="1644"/>
    <cellStyle name="표준 104 4" xfId="26"/>
    <cellStyle name="표준 104 4 2" xfId="1645"/>
    <cellStyle name="표준 104 4 3" xfId="1646"/>
    <cellStyle name="표준 104 5" xfId="27"/>
    <cellStyle name="표준 104 5 2" xfId="1647"/>
    <cellStyle name="표준 104 5 3" xfId="1648"/>
    <cellStyle name="표준 104 6" xfId="28"/>
    <cellStyle name="표준 104 6 2" xfId="1649"/>
    <cellStyle name="표준 104 6 3" xfId="1650"/>
    <cellStyle name="표준 104 7" xfId="29"/>
    <cellStyle name="표준 104 7 2" xfId="1651"/>
    <cellStyle name="표준 104 7 3" xfId="1652"/>
    <cellStyle name="표준 104 8" xfId="30"/>
    <cellStyle name="표준 104 8 2" xfId="1653"/>
    <cellStyle name="표준 104 8 3" xfId="1654"/>
    <cellStyle name="표준 104 9" xfId="31"/>
    <cellStyle name="표준 104 9 2" xfId="1655"/>
    <cellStyle name="표준 104 9 3" xfId="1656"/>
    <cellStyle name="표준 105" xfId="32"/>
    <cellStyle name="표준 105 10" xfId="938"/>
    <cellStyle name="표준 105 10 2" xfId="1657"/>
    <cellStyle name="표준 105 10 3" xfId="1658"/>
    <cellStyle name="표준 105 11" xfId="1659"/>
    <cellStyle name="표준 105 12" xfId="1660"/>
    <cellStyle name="표준 105 2" xfId="33"/>
    <cellStyle name="표준 105 2 2" xfId="1661"/>
    <cellStyle name="표준 105 2 3" xfId="1662"/>
    <cellStyle name="표준 105 3" xfId="34"/>
    <cellStyle name="표준 105 3 2" xfId="1663"/>
    <cellStyle name="표준 105 3 3" xfId="1664"/>
    <cellStyle name="표준 105 4" xfId="35"/>
    <cellStyle name="표준 105 4 2" xfId="1665"/>
    <cellStyle name="표준 105 4 3" xfId="1666"/>
    <cellStyle name="표준 105 5" xfId="36"/>
    <cellStyle name="표준 105 5 2" xfId="1667"/>
    <cellStyle name="표준 105 5 3" xfId="1668"/>
    <cellStyle name="표준 105 6" xfId="37"/>
    <cellStyle name="표준 105 6 2" xfId="1669"/>
    <cellStyle name="표준 105 6 3" xfId="1670"/>
    <cellStyle name="표준 105 7" xfId="38"/>
    <cellStyle name="표준 105 7 2" xfId="1671"/>
    <cellStyle name="표준 105 7 3" xfId="1672"/>
    <cellStyle name="표준 105 8" xfId="39"/>
    <cellStyle name="표준 105 8 2" xfId="1673"/>
    <cellStyle name="표준 105 8 3" xfId="1674"/>
    <cellStyle name="표준 105 9" xfId="40"/>
    <cellStyle name="표준 105 9 2" xfId="1675"/>
    <cellStyle name="표준 105 9 3" xfId="1676"/>
    <cellStyle name="표준 106" xfId="41"/>
    <cellStyle name="표준 106 10" xfId="939"/>
    <cellStyle name="표준 106 10 2" xfId="1677"/>
    <cellStyle name="표준 106 10 3" xfId="1678"/>
    <cellStyle name="표준 106 11" xfId="1679"/>
    <cellStyle name="표준 106 12" xfId="1680"/>
    <cellStyle name="표준 106 2" xfId="42"/>
    <cellStyle name="표준 106 2 2" xfId="1681"/>
    <cellStyle name="표준 106 2 3" xfId="1682"/>
    <cellStyle name="표준 106 3" xfId="43"/>
    <cellStyle name="표준 106 3 2" xfId="1683"/>
    <cellStyle name="표준 106 3 3" xfId="1684"/>
    <cellStyle name="표준 106 4" xfId="44"/>
    <cellStyle name="표준 106 4 2" xfId="1685"/>
    <cellStyle name="표준 106 4 3" xfId="1686"/>
    <cellStyle name="표준 106 5" xfId="45"/>
    <cellStyle name="표준 106 5 2" xfId="1687"/>
    <cellStyle name="표준 106 5 3" xfId="1688"/>
    <cellStyle name="표준 106 6" xfId="46"/>
    <cellStyle name="표준 106 6 2" xfId="1689"/>
    <cellStyle name="표준 106 6 3" xfId="1690"/>
    <cellStyle name="표준 106 7" xfId="47"/>
    <cellStyle name="표준 106 7 2" xfId="1691"/>
    <cellStyle name="표준 106 7 3" xfId="1692"/>
    <cellStyle name="표준 106 8" xfId="48"/>
    <cellStyle name="표준 106 8 2" xfId="1693"/>
    <cellStyle name="표준 106 8 3" xfId="1694"/>
    <cellStyle name="표준 106 9" xfId="49"/>
    <cellStyle name="표준 106 9 2" xfId="1695"/>
    <cellStyle name="표준 106 9 3" xfId="1696"/>
    <cellStyle name="표준 107" xfId="50"/>
    <cellStyle name="표준 107 10" xfId="940"/>
    <cellStyle name="표준 107 10 2" xfId="1697"/>
    <cellStyle name="표준 107 10 3" xfId="1698"/>
    <cellStyle name="표준 107 11" xfId="1699"/>
    <cellStyle name="표준 107 12" xfId="1700"/>
    <cellStyle name="표준 107 2" xfId="51"/>
    <cellStyle name="표준 107 2 2" xfId="1701"/>
    <cellStyle name="표준 107 2 3" xfId="1702"/>
    <cellStyle name="표준 107 3" xfId="52"/>
    <cellStyle name="표준 107 3 2" xfId="1703"/>
    <cellStyle name="표준 107 3 3" xfId="1704"/>
    <cellStyle name="표준 107 4" xfId="53"/>
    <cellStyle name="표준 107 4 2" xfId="1705"/>
    <cellStyle name="표준 107 4 3" xfId="1706"/>
    <cellStyle name="표준 107 5" xfId="54"/>
    <cellStyle name="표준 107 5 2" xfId="1707"/>
    <cellStyle name="표준 107 5 3" xfId="1708"/>
    <cellStyle name="표준 107 6" xfId="55"/>
    <cellStyle name="표준 107 6 2" xfId="1709"/>
    <cellStyle name="표준 107 6 3" xfId="1710"/>
    <cellStyle name="표준 107 7" xfId="56"/>
    <cellStyle name="표준 107 7 2" xfId="1711"/>
    <cellStyle name="표준 107 7 3" xfId="1712"/>
    <cellStyle name="표준 107 8" xfId="57"/>
    <cellStyle name="표준 107 8 2" xfId="1713"/>
    <cellStyle name="표준 107 8 3" xfId="1714"/>
    <cellStyle name="표준 107 9" xfId="58"/>
    <cellStyle name="표준 107 9 2" xfId="1715"/>
    <cellStyle name="표준 107 9 3" xfId="1716"/>
    <cellStyle name="표준 108" xfId="59"/>
    <cellStyle name="표준 108 10" xfId="941"/>
    <cellStyle name="표준 108 10 2" xfId="1717"/>
    <cellStyle name="표준 108 10 3" xfId="1718"/>
    <cellStyle name="표준 108 11" xfId="1719"/>
    <cellStyle name="표준 108 12" xfId="1720"/>
    <cellStyle name="표준 108 2" xfId="60"/>
    <cellStyle name="표준 108 2 2" xfId="1721"/>
    <cellStyle name="표준 108 2 3" xfId="1722"/>
    <cellStyle name="표준 108 3" xfId="61"/>
    <cellStyle name="표준 108 3 2" xfId="1723"/>
    <cellStyle name="표준 108 3 3" xfId="1724"/>
    <cellStyle name="표준 108 4" xfId="62"/>
    <cellStyle name="표준 108 4 2" xfId="1725"/>
    <cellStyle name="표준 108 4 3" xfId="1726"/>
    <cellStyle name="표준 108 5" xfId="63"/>
    <cellStyle name="표준 108 5 2" xfId="1727"/>
    <cellStyle name="표준 108 5 3" xfId="1728"/>
    <cellStyle name="표준 108 6" xfId="64"/>
    <cellStyle name="표준 108 6 2" xfId="1729"/>
    <cellStyle name="표준 108 6 3" xfId="1730"/>
    <cellStyle name="표준 108 7" xfId="65"/>
    <cellStyle name="표준 108 7 2" xfId="1731"/>
    <cellStyle name="표준 108 7 3" xfId="1732"/>
    <cellStyle name="표준 108 8" xfId="66"/>
    <cellStyle name="표준 108 8 2" xfId="1733"/>
    <cellStyle name="표준 108 8 3" xfId="1734"/>
    <cellStyle name="표준 108 9" xfId="67"/>
    <cellStyle name="표준 108 9 2" xfId="1735"/>
    <cellStyle name="표준 108 9 3" xfId="1736"/>
    <cellStyle name="표준 109" xfId="68"/>
    <cellStyle name="표준 109 10" xfId="942"/>
    <cellStyle name="표준 109 10 2" xfId="1737"/>
    <cellStyle name="표준 109 10 3" xfId="1738"/>
    <cellStyle name="표준 109 11" xfId="1739"/>
    <cellStyle name="표준 109 12" xfId="1740"/>
    <cellStyle name="표준 109 2" xfId="69"/>
    <cellStyle name="표준 109 2 2" xfId="1741"/>
    <cellStyle name="표준 109 2 3" xfId="1742"/>
    <cellStyle name="표준 109 3" xfId="70"/>
    <cellStyle name="표준 109 3 2" xfId="1743"/>
    <cellStyle name="표준 109 3 3" xfId="1744"/>
    <cellStyle name="표준 109 4" xfId="71"/>
    <cellStyle name="표준 109 4 2" xfId="1745"/>
    <cellStyle name="표준 109 4 3" xfId="1746"/>
    <cellStyle name="표준 109 5" xfId="72"/>
    <cellStyle name="표준 109 5 2" xfId="1747"/>
    <cellStyle name="표준 109 5 3" xfId="1748"/>
    <cellStyle name="표준 109 6" xfId="73"/>
    <cellStyle name="표준 109 6 2" xfId="1749"/>
    <cellStyle name="표준 109 6 3" xfId="1750"/>
    <cellStyle name="표준 109 7" xfId="74"/>
    <cellStyle name="표준 109 7 2" xfId="1751"/>
    <cellStyle name="표준 109 7 3" xfId="1752"/>
    <cellStyle name="표준 109 8" xfId="75"/>
    <cellStyle name="표준 109 8 2" xfId="1753"/>
    <cellStyle name="표준 109 8 3" xfId="1754"/>
    <cellStyle name="표준 109 9" xfId="76"/>
    <cellStyle name="표준 109 9 2" xfId="1755"/>
    <cellStyle name="표준 109 9 3" xfId="1756"/>
    <cellStyle name="표준 11" xfId="77"/>
    <cellStyle name="표준 11 2" xfId="1757"/>
    <cellStyle name="표준 11 3" xfId="1758"/>
    <cellStyle name="표준 110" xfId="78"/>
    <cellStyle name="표준 110 10" xfId="943"/>
    <cellStyle name="표준 110 10 2" xfId="1759"/>
    <cellStyle name="표준 110 10 3" xfId="1760"/>
    <cellStyle name="표준 110 11" xfId="1761"/>
    <cellStyle name="표준 110 12" xfId="1762"/>
    <cellStyle name="표준 110 2" xfId="79"/>
    <cellStyle name="표준 110 2 2" xfId="1763"/>
    <cellStyle name="표준 110 2 3" xfId="1764"/>
    <cellStyle name="표준 110 3" xfId="80"/>
    <cellStyle name="표준 110 3 2" xfId="1765"/>
    <cellStyle name="표준 110 3 3" xfId="1766"/>
    <cellStyle name="표준 110 4" xfId="81"/>
    <cellStyle name="표준 110 4 2" xfId="1767"/>
    <cellStyle name="표준 110 4 3" xfId="1768"/>
    <cellStyle name="표준 110 5" xfId="82"/>
    <cellStyle name="표준 110 5 2" xfId="1769"/>
    <cellStyle name="표준 110 5 3" xfId="1770"/>
    <cellStyle name="표준 110 6" xfId="83"/>
    <cellStyle name="표준 110 6 2" xfId="1771"/>
    <cellStyle name="표준 110 6 3" xfId="1772"/>
    <cellStyle name="표준 110 7" xfId="84"/>
    <cellStyle name="표준 110 7 2" xfId="1773"/>
    <cellStyle name="표준 110 7 3" xfId="1774"/>
    <cellStyle name="표준 110 8" xfId="85"/>
    <cellStyle name="표준 110 8 2" xfId="1775"/>
    <cellStyle name="표준 110 8 3" xfId="1776"/>
    <cellStyle name="표준 110 9" xfId="86"/>
    <cellStyle name="표준 110 9 2" xfId="1777"/>
    <cellStyle name="표준 110 9 3" xfId="1778"/>
    <cellStyle name="표준 111" xfId="87"/>
    <cellStyle name="표준 111 10" xfId="944"/>
    <cellStyle name="표준 111 10 2" xfId="1779"/>
    <cellStyle name="표준 111 10 3" xfId="1780"/>
    <cellStyle name="표준 111 11" xfId="1781"/>
    <cellStyle name="표준 111 12" xfId="1782"/>
    <cellStyle name="표준 111 2" xfId="88"/>
    <cellStyle name="표준 111 2 2" xfId="1783"/>
    <cellStyle name="표준 111 2 3" xfId="1784"/>
    <cellStyle name="표준 111 3" xfId="89"/>
    <cellStyle name="표준 111 3 2" xfId="1785"/>
    <cellStyle name="표준 111 3 3" xfId="1786"/>
    <cellStyle name="표준 111 4" xfId="90"/>
    <cellStyle name="표준 111 4 2" xfId="1787"/>
    <cellStyle name="표준 111 4 3" xfId="1788"/>
    <cellStyle name="표준 111 5" xfId="91"/>
    <cellStyle name="표준 111 5 2" xfId="1789"/>
    <cellStyle name="표준 111 5 3" xfId="1790"/>
    <cellStyle name="표준 111 6" xfId="92"/>
    <cellStyle name="표준 111 6 2" xfId="1791"/>
    <cellStyle name="표준 111 6 3" xfId="1792"/>
    <cellStyle name="표준 111 7" xfId="93"/>
    <cellStyle name="표준 111 7 2" xfId="1793"/>
    <cellStyle name="표준 111 7 3" xfId="1794"/>
    <cellStyle name="표준 111 8" xfId="94"/>
    <cellStyle name="표준 111 8 2" xfId="1795"/>
    <cellStyle name="표준 111 8 3" xfId="1796"/>
    <cellStyle name="표준 111 9" xfId="95"/>
    <cellStyle name="표준 111 9 2" xfId="1797"/>
    <cellStyle name="표준 111 9 3" xfId="1798"/>
    <cellStyle name="표준 112" xfId="96"/>
    <cellStyle name="표준 112 10" xfId="945"/>
    <cellStyle name="표준 112 10 2" xfId="1799"/>
    <cellStyle name="표준 112 10 3" xfId="1800"/>
    <cellStyle name="표준 112 11" xfId="1801"/>
    <cellStyle name="표준 112 12" xfId="1802"/>
    <cellStyle name="표준 112 2" xfId="97"/>
    <cellStyle name="표준 112 2 2" xfId="1803"/>
    <cellStyle name="표준 112 2 3" xfId="1804"/>
    <cellStyle name="표준 112 3" xfId="98"/>
    <cellStyle name="표준 112 3 2" xfId="1805"/>
    <cellStyle name="표준 112 3 3" xfId="1806"/>
    <cellStyle name="표준 112 4" xfId="99"/>
    <cellStyle name="표준 112 4 2" xfId="1807"/>
    <cellStyle name="표준 112 4 3" xfId="1808"/>
    <cellStyle name="표준 112 5" xfId="100"/>
    <cellStyle name="표준 112 5 2" xfId="1809"/>
    <cellStyle name="표준 112 5 3" xfId="1810"/>
    <cellStyle name="표준 112 6" xfId="101"/>
    <cellStyle name="표준 112 6 2" xfId="1811"/>
    <cellStyle name="표준 112 6 3" xfId="1812"/>
    <cellStyle name="표준 112 7" xfId="102"/>
    <cellStyle name="표준 112 7 2" xfId="1813"/>
    <cellStyle name="표준 112 7 3" xfId="1814"/>
    <cellStyle name="표준 112 8" xfId="103"/>
    <cellStyle name="표준 112 8 2" xfId="1815"/>
    <cellStyle name="표준 112 8 3" xfId="1816"/>
    <cellStyle name="표준 112 9" xfId="104"/>
    <cellStyle name="표준 112 9 2" xfId="1817"/>
    <cellStyle name="표준 112 9 3" xfId="1818"/>
    <cellStyle name="표준 113" xfId="105"/>
    <cellStyle name="표준 113 2" xfId="946"/>
    <cellStyle name="표준 113 2 2" xfId="1819"/>
    <cellStyle name="표준 113 2 3" xfId="1820"/>
    <cellStyle name="표준 113 3" xfId="1821"/>
    <cellStyle name="표준 113 4" xfId="1822"/>
    <cellStyle name="표준 114" xfId="106"/>
    <cellStyle name="표준 114 10" xfId="947"/>
    <cellStyle name="표준 114 10 2" xfId="1823"/>
    <cellStyle name="표준 114 10 3" xfId="1824"/>
    <cellStyle name="표준 114 11" xfId="1825"/>
    <cellStyle name="표준 114 12" xfId="1826"/>
    <cellStyle name="표준 114 2" xfId="107"/>
    <cellStyle name="표준 114 2 2" xfId="1827"/>
    <cellStyle name="표준 114 2 3" xfId="1828"/>
    <cellStyle name="표준 114 3" xfId="108"/>
    <cellStyle name="표준 114 3 2" xfId="1829"/>
    <cellStyle name="표준 114 3 3" xfId="1830"/>
    <cellStyle name="표준 114 4" xfId="109"/>
    <cellStyle name="표준 114 4 2" xfId="1831"/>
    <cellStyle name="표준 114 4 3" xfId="1832"/>
    <cellStyle name="표준 114 5" xfId="110"/>
    <cellStyle name="표준 114 5 2" xfId="1833"/>
    <cellStyle name="표준 114 5 3" xfId="1834"/>
    <cellStyle name="표준 114 6" xfId="111"/>
    <cellStyle name="표준 114 6 2" xfId="1835"/>
    <cellStyle name="표준 114 6 3" xfId="1836"/>
    <cellStyle name="표준 114 7" xfId="112"/>
    <cellStyle name="표준 114 7 2" xfId="1837"/>
    <cellStyle name="표준 114 7 3" xfId="1838"/>
    <cellStyle name="표준 114 8" xfId="113"/>
    <cellStyle name="표준 114 8 2" xfId="1839"/>
    <cellStyle name="표준 114 8 3" xfId="1840"/>
    <cellStyle name="표준 114 9" xfId="114"/>
    <cellStyle name="표준 114 9 2" xfId="1841"/>
    <cellStyle name="표준 114 9 3" xfId="1842"/>
    <cellStyle name="표준 115" xfId="115"/>
    <cellStyle name="표준 115 10" xfId="1843"/>
    <cellStyle name="표준 115 11" xfId="1844"/>
    <cellStyle name="표준 115 2" xfId="116"/>
    <cellStyle name="표준 115 2 2" xfId="1845"/>
    <cellStyle name="표준 115 2 3" xfId="1846"/>
    <cellStyle name="표준 115 3" xfId="117"/>
    <cellStyle name="표준 115 3 2" xfId="1847"/>
    <cellStyle name="표준 115 3 3" xfId="1848"/>
    <cellStyle name="표준 115 4" xfId="118"/>
    <cellStyle name="표준 115 4 2" xfId="1849"/>
    <cellStyle name="표준 115 4 3" xfId="1850"/>
    <cellStyle name="표준 115 5" xfId="119"/>
    <cellStyle name="표준 115 5 2" xfId="1851"/>
    <cellStyle name="표준 115 5 3" xfId="1852"/>
    <cellStyle name="표준 115 6" xfId="120"/>
    <cellStyle name="표준 115 6 2" xfId="1853"/>
    <cellStyle name="표준 115 6 3" xfId="1854"/>
    <cellStyle name="표준 115 7" xfId="121"/>
    <cellStyle name="표준 115 7 2" xfId="1855"/>
    <cellStyle name="표준 115 7 3" xfId="1856"/>
    <cellStyle name="표준 115 8" xfId="122"/>
    <cellStyle name="표준 115 8 2" xfId="1857"/>
    <cellStyle name="표준 115 8 3" xfId="1858"/>
    <cellStyle name="표준 115 9" xfId="123"/>
    <cellStyle name="표준 115 9 2" xfId="1859"/>
    <cellStyle name="표준 115 9 3" xfId="1860"/>
    <cellStyle name="표준 116" xfId="124"/>
    <cellStyle name="표준 116 10" xfId="948"/>
    <cellStyle name="표준 116 10 2" xfId="1861"/>
    <cellStyle name="표준 116 10 3" xfId="1862"/>
    <cellStyle name="표준 116 11" xfId="1863"/>
    <cellStyle name="표준 116 12" xfId="1864"/>
    <cellStyle name="표준 116 2" xfId="125"/>
    <cellStyle name="표준 116 2 2" xfId="1865"/>
    <cellStyle name="표준 116 2 3" xfId="1866"/>
    <cellStyle name="표준 116 3" xfId="126"/>
    <cellStyle name="표준 116 3 2" xfId="1867"/>
    <cellStyle name="표준 116 3 3" xfId="1868"/>
    <cellStyle name="표준 116 4" xfId="127"/>
    <cellStyle name="표준 116 4 2" xfId="1869"/>
    <cellStyle name="표준 116 4 3" xfId="1870"/>
    <cellStyle name="표준 116 5" xfId="128"/>
    <cellStyle name="표준 116 5 2" xfId="1871"/>
    <cellStyle name="표준 116 5 3" xfId="1872"/>
    <cellStyle name="표준 116 6" xfId="129"/>
    <cellStyle name="표준 116 6 2" xfId="1873"/>
    <cellStyle name="표준 116 6 3" xfId="1874"/>
    <cellStyle name="표준 116 7" xfId="130"/>
    <cellStyle name="표준 116 7 2" xfId="1875"/>
    <cellStyle name="표준 116 7 3" xfId="1876"/>
    <cellStyle name="표준 116 8" xfId="131"/>
    <cellStyle name="표준 116 8 2" xfId="1877"/>
    <cellStyle name="표준 116 8 3" xfId="1878"/>
    <cellStyle name="표준 116 9" xfId="132"/>
    <cellStyle name="표준 116 9 2" xfId="1879"/>
    <cellStyle name="표준 116 9 3" xfId="1880"/>
    <cellStyle name="표준 117" xfId="949"/>
    <cellStyle name="표준 117 2" xfId="1881"/>
    <cellStyle name="표준 117 3" xfId="1882"/>
    <cellStyle name="표준 118" xfId="133"/>
    <cellStyle name="표준 118 10" xfId="950"/>
    <cellStyle name="표준 118 10 2" xfId="1883"/>
    <cellStyle name="표준 118 10 3" xfId="1884"/>
    <cellStyle name="표준 118 11" xfId="1885"/>
    <cellStyle name="표준 118 12" xfId="1886"/>
    <cellStyle name="표준 118 2" xfId="134"/>
    <cellStyle name="표준 118 2 2" xfId="1887"/>
    <cellStyle name="표준 118 2 3" xfId="1888"/>
    <cellStyle name="표준 118 3" xfId="135"/>
    <cellStyle name="표준 118 3 2" xfId="1889"/>
    <cellStyle name="표준 118 3 3" xfId="1890"/>
    <cellStyle name="표준 118 4" xfId="136"/>
    <cellStyle name="표준 118 4 2" xfId="1891"/>
    <cellStyle name="표준 118 4 3" xfId="1892"/>
    <cellStyle name="표준 118 5" xfId="137"/>
    <cellStyle name="표준 118 5 2" xfId="1893"/>
    <cellStyle name="표준 118 5 3" xfId="1894"/>
    <cellStyle name="표준 118 6" xfId="138"/>
    <cellStyle name="표준 118 6 2" xfId="1895"/>
    <cellStyle name="표준 118 6 3" xfId="1896"/>
    <cellStyle name="표준 118 7" xfId="139"/>
    <cellStyle name="표준 118 7 2" xfId="1897"/>
    <cellStyle name="표준 118 7 3" xfId="1898"/>
    <cellStyle name="표준 118 8" xfId="140"/>
    <cellStyle name="표준 118 8 2" xfId="1899"/>
    <cellStyle name="표준 118 8 3" xfId="1900"/>
    <cellStyle name="표준 118 9" xfId="141"/>
    <cellStyle name="표준 118 9 2" xfId="1901"/>
    <cellStyle name="표준 118 9 3" xfId="1902"/>
    <cellStyle name="표준 119" xfId="142"/>
    <cellStyle name="표준 119 10" xfId="951"/>
    <cellStyle name="표준 119 10 2" xfId="1903"/>
    <cellStyle name="표준 119 10 3" xfId="1904"/>
    <cellStyle name="표준 119 11" xfId="1905"/>
    <cellStyle name="표준 119 12" xfId="1906"/>
    <cellStyle name="표준 119 2" xfId="143"/>
    <cellStyle name="표준 119 2 2" xfId="1907"/>
    <cellStyle name="표준 119 2 3" xfId="1908"/>
    <cellStyle name="표준 119 3" xfId="144"/>
    <cellStyle name="표준 119 3 2" xfId="1909"/>
    <cellStyle name="표준 119 3 3" xfId="1910"/>
    <cellStyle name="표준 119 4" xfId="145"/>
    <cellStyle name="표준 119 4 2" xfId="1911"/>
    <cellStyle name="표준 119 4 3" xfId="1912"/>
    <cellStyle name="표준 119 5" xfId="146"/>
    <cellStyle name="표준 119 5 2" xfId="1913"/>
    <cellStyle name="표준 119 5 3" xfId="1914"/>
    <cellStyle name="표준 119 6" xfId="147"/>
    <cellStyle name="표준 119 6 2" xfId="1915"/>
    <cellStyle name="표준 119 6 3" xfId="1916"/>
    <cellStyle name="표준 119 7" xfId="148"/>
    <cellStyle name="표준 119 7 2" xfId="1917"/>
    <cellStyle name="표준 119 7 3" xfId="1918"/>
    <cellStyle name="표준 119 8" xfId="149"/>
    <cellStyle name="표준 119 8 2" xfId="1919"/>
    <cellStyle name="표준 119 8 3" xfId="1920"/>
    <cellStyle name="표준 119 9" xfId="150"/>
    <cellStyle name="표준 119 9 2" xfId="1921"/>
    <cellStyle name="표준 119 9 3" xfId="1922"/>
    <cellStyle name="표준 12" xfId="151"/>
    <cellStyle name="표준 12 2" xfId="1923"/>
    <cellStyle name="표준 12 3" xfId="1924"/>
    <cellStyle name="표준 120" xfId="152"/>
    <cellStyle name="표준 120 10" xfId="952"/>
    <cellStyle name="표준 120 10 2" xfId="1925"/>
    <cellStyle name="표준 120 10 3" xfId="1926"/>
    <cellStyle name="표준 120 11" xfId="1927"/>
    <cellStyle name="표준 120 12" xfId="1928"/>
    <cellStyle name="표준 120 2" xfId="153"/>
    <cellStyle name="표준 120 2 2" xfId="1929"/>
    <cellStyle name="표준 120 2 3" xfId="1930"/>
    <cellStyle name="표준 120 3" xfId="154"/>
    <cellStyle name="표준 120 3 2" xfId="1931"/>
    <cellStyle name="표준 120 3 3" xfId="1932"/>
    <cellStyle name="표준 120 4" xfId="155"/>
    <cellStyle name="표준 120 4 2" xfId="1933"/>
    <cellStyle name="표준 120 4 3" xfId="1934"/>
    <cellStyle name="표준 120 5" xfId="156"/>
    <cellStyle name="표준 120 5 2" xfId="1935"/>
    <cellStyle name="표준 120 5 3" xfId="1936"/>
    <cellStyle name="표준 120 6" xfId="157"/>
    <cellStyle name="표준 120 6 2" xfId="1937"/>
    <cellStyle name="표준 120 6 3" xfId="1938"/>
    <cellStyle name="표준 120 7" xfId="158"/>
    <cellStyle name="표준 120 7 2" xfId="1939"/>
    <cellStyle name="표준 120 7 3" xfId="1940"/>
    <cellStyle name="표준 120 8" xfId="159"/>
    <cellStyle name="표준 120 8 2" xfId="1941"/>
    <cellStyle name="표준 120 8 3" xfId="1942"/>
    <cellStyle name="표준 120 9" xfId="160"/>
    <cellStyle name="표준 120 9 2" xfId="1943"/>
    <cellStyle name="표준 120 9 3" xfId="1944"/>
    <cellStyle name="표준 121" xfId="161"/>
    <cellStyle name="표준 121 10" xfId="953"/>
    <cellStyle name="표준 121 10 2" xfId="1945"/>
    <cellStyle name="표준 121 10 3" xfId="1946"/>
    <cellStyle name="표준 121 11" xfId="1947"/>
    <cellStyle name="표준 121 12" xfId="1948"/>
    <cellStyle name="표준 121 2" xfId="162"/>
    <cellStyle name="표준 121 2 2" xfId="1949"/>
    <cellStyle name="표준 121 2 3" xfId="1950"/>
    <cellStyle name="표준 121 3" xfId="163"/>
    <cellStyle name="표준 121 3 2" xfId="1951"/>
    <cellStyle name="표준 121 3 3" xfId="1952"/>
    <cellStyle name="표준 121 4" xfId="164"/>
    <cellStyle name="표준 121 4 2" xfId="1953"/>
    <cellStyle name="표준 121 4 3" xfId="1954"/>
    <cellStyle name="표준 121 5" xfId="165"/>
    <cellStyle name="표준 121 5 2" xfId="1955"/>
    <cellStyle name="표준 121 5 3" xfId="1956"/>
    <cellStyle name="표준 121 6" xfId="166"/>
    <cellStyle name="표준 121 6 2" xfId="1957"/>
    <cellStyle name="표준 121 6 3" xfId="1958"/>
    <cellStyle name="표준 121 7" xfId="167"/>
    <cellStyle name="표준 121 7 2" xfId="1959"/>
    <cellStyle name="표준 121 7 3" xfId="1960"/>
    <cellStyle name="표준 121 8" xfId="168"/>
    <cellStyle name="표준 121 8 2" xfId="1961"/>
    <cellStyle name="표준 121 8 3" xfId="1962"/>
    <cellStyle name="표준 121 9" xfId="169"/>
    <cellStyle name="표준 121 9 2" xfId="1963"/>
    <cellStyle name="표준 121 9 3" xfId="1964"/>
    <cellStyle name="표준 122" xfId="170"/>
    <cellStyle name="표준 122 10" xfId="954"/>
    <cellStyle name="표준 122 10 2" xfId="1965"/>
    <cellStyle name="표준 122 10 3" xfId="1966"/>
    <cellStyle name="표준 122 11" xfId="1967"/>
    <cellStyle name="표준 122 12" xfId="1968"/>
    <cellStyle name="표준 122 2" xfId="171"/>
    <cellStyle name="표준 122 2 2" xfId="1969"/>
    <cellStyle name="표준 122 2 3" xfId="1970"/>
    <cellStyle name="표준 122 3" xfId="172"/>
    <cellStyle name="표준 122 3 2" xfId="1971"/>
    <cellStyle name="표준 122 3 3" xfId="1972"/>
    <cellStyle name="표준 122 4" xfId="173"/>
    <cellStyle name="표준 122 4 2" xfId="1973"/>
    <cellStyle name="표준 122 4 3" xfId="1974"/>
    <cellStyle name="표준 122 5" xfId="174"/>
    <cellStyle name="표준 122 5 2" xfId="1975"/>
    <cellStyle name="표준 122 5 3" xfId="1976"/>
    <cellStyle name="표준 122 6" xfId="175"/>
    <cellStyle name="표준 122 6 2" xfId="1977"/>
    <cellStyle name="표준 122 6 3" xfId="1978"/>
    <cellStyle name="표준 122 7" xfId="176"/>
    <cellStyle name="표준 122 7 2" xfId="1979"/>
    <cellStyle name="표준 122 7 3" xfId="1980"/>
    <cellStyle name="표준 122 8" xfId="177"/>
    <cellStyle name="표준 122 8 2" xfId="1981"/>
    <cellStyle name="표준 122 8 3" xfId="1982"/>
    <cellStyle name="표준 122 9" xfId="178"/>
    <cellStyle name="표준 122 9 2" xfId="1983"/>
    <cellStyle name="표준 122 9 3" xfId="1984"/>
    <cellStyle name="표준 123" xfId="179"/>
    <cellStyle name="표준 123 10" xfId="955"/>
    <cellStyle name="표준 123 10 2" xfId="1985"/>
    <cellStyle name="표준 123 10 3" xfId="1986"/>
    <cellStyle name="표준 123 11" xfId="1987"/>
    <cellStyle name="표준 123 12" xfId="1988"/>
    <cellStyle name="표준 123 2" xfId="180"/>
    <cellStyle name="표준 123 2 2" xfId="1989"/>
    <cellStyle name="표준 123 2 3" xfId="1990"/>
    <cellStyle name="표준 123 3" xfId="181"/>
    <cellStyle name="표준 123 3 2" xfId="1991"/>
    <cellStyle name="표준 123 3 3" xfId="1992"/>
    <cellStyle name="표준 123 4" xfId="182"/>
    <cellStyle name="표준 123 4 2" xfId="1993"/>
    <cellStyle name="표준 123 4 3" xfId="1994"/>
    <cellStyle name="표준 123 5" xfId="183"/>
    <cellStyle name="표준 123 5 2" xfId="1995"/>
    <cellStyle name="표준 123 5 3" xfId="1996"/>
    <cellStyle name="표준 123 6" xfId="184"/>
    <cellStyle name="표준 123 6 2" xfId="1997"/>
    <cellStyle name="표준 123 6 3" xfId="1998"/>
    <cellStyle name="표준 123 7" xfId="185"/>
    <cellStyle name="표준 123 7 2" xfId="1999"/>
    <cellStyle name="표준 123 7 3" xfId="2000"/>
    <cellStyle name="표준 123 8" xfId="186"/>
    <cellStyle name="표준 123 8 2" xfId="2001"/>
    <cellStyle name="표준 123 8 3" xfId="2002"/>
    <cellStyle name="표준 123 9" xfId="187"/>
    <cellStyle name="표준 123 9 2" xfId="2003"/>
    <cellStyle name="표준 123 9 3" xfId="2004"/>
    <cellStyle name="표준 124" xfId="188"/>
    <cellStyle name="표준 124 10" xfId="956"/>
    <cellStyle name="표준 124 10 2" xfId="2005"/>
    <cellStyle name="표준 124 10 3" xfId="2006"/>
    <cellStyle name="표준 124 11" xfId="2007"/>
    <cellStyle name="표준 124 12" xfId="2008"/>
    <cellStyle name="표준 124 2" xfId="189"/>
    <cellStyle name="표준 124 2 2" xfId="2009"/>
    <cellStyle name="표준 124 2 3" xfId="2010"/>
    <cellStyle name="표준 124 3" xfId="190"/>
    <cellStyle name="표준 124 3 2" xfId="2011"/>
    <cellStyle name="표준 124 3 3" xfId="2012"/>
    <cellStyle name="표준 124 4" xfId="191"/>
    <cellStyle name="표준 124 4 2" xfId="2013"/>
    <cellStyle name="표준 124 4 3" xfId="2014"/>
    <cellStyle name="표준 124 5" xfId="192"/>
    <cellStyle name="표준 124 5 2" xfId="2015"/>
    <cellStyle name="표준 124 5 3" xfId="2016"/>
    <cellStyle name="표준 124 6" xfId="193"/>
    <cellStyle name="표준 124 6 2" xfId="2017"/>
    <cellStyle name="표준 124 6 3" xfId="2018"/>
    <cellStyle name="표준 124 7" xfId="194"/>
    <cellStyle name="표준 124 7 2" xfId="2019"/>
    <cellStyle name="표준 124 7 3" xfId="2020"/>
    <cellStyle name="표준 124 8" xfId="195"/>
    <cellStyle name="표준 124 8 2" xfId="2021"/>
    <cellStyle name="표준 124 8 3" xfId="2022"/>
    <cellStyle name="표준 124 9" xfId="196"/>
    <cellStyle name="표준 124 9 2" xfId="2023"/>
    <cellStyle name="표준 124 9 3" xfId="2024"/>
    <cellStyle name="표준 125" xfId="197"/>
    <cellStyle name="표준 125 10" xfId="957"/>
    <cellStyle name="표준 125 10 2" xfId="2025"/>
    <cellStyle name="표준 125 10 3" xfId="2026"/>
    <cellStyle name="표준 125 11" xfId="2027"/>
    <cellStyle name="표준 125 12" xfId="2028"/>
    <cellStyle name="표준 125 2" xfId="198"/>
    <cellStyle name="표준 125 2 2" xfId="2029"/>
    <cellStyle name="표준 125 2 3" xfId="2030"/>
    <cellStyle name="표준 125 3" xfId="199"/>
    <cellStyle name="표준 125 3 2" xfId="2031"/>
    <cellStyle name="표준 125 3 3" xfId="2032"/>
    <cellStyle name="표준 125 4" xfId="200"/>
    <cellStyle name="표준 125 4 2" xfId="2033"/>
    <cellStyle name="표준 125 4 3" xfId="2034"/>
    <cellStyle name="표준 125 5" xfId="201"/>
    <cellStyle name="표준 125 5 2" xfId="2035"/>
    <cellStyle name="표준 125 5 3" xfId="2036"/>
    <cellStyle name="표준 125 6" xfId="202"/>
    <cellStyle name="표준 125 6 2" xfId="2037"/>
    <cellStyle name="표준 125 6 3" xfId="2038"/>
    <cellStyle name="표준 125 7" xfId="203"/>
    <cellStyle name="표준 125 7 2" xfId="2039"/>
    <cellStyle name="표준 125 7 3" xfId="2040"/>
    <cellStyle name="표준 125 8" xfId="204"/>
    <cellStyle name="표준 125 8 2" xfId="2041"/>
    <cellStyle name="표준 125 8 3" xfId="2042"/>
    <cellStyle name="표준 125 9" xfId="205"/>
    <cellStyle name="표준 125 9 2" xfId="2043"/>
    <cellStyle name="표준 125 9 3" xfId="2044"/>
    <cellStyle name="표준 126" xfId="958"/>
    <cellStyle name="표준 126 2" xfId="2045"/>
    <cellStyle name="표준 126 3" xfId="2046"/>
    <cellStyle name="표준 127" xfId="206"/>
    <cellStyle name="표준 127 10" xfId="959"/>
    <cellStyle name="표준 127 10 2" xfId="2047"/>
    <cellStyle name="표준 127 10 3" xfId="2048"/>
    <cellStyle name="표준 127 11" xfId="2049"/>
    <cellStyle name="표준 127 12" xfId="2050"/>
    <cellStyle name="표준 127 2" xfId="207"/>
    <cellStyle name="표준 127 2 2" xfId="2051"/>
    <cellStyle name="표준 127 2 3" xfId="2052"/>
    <cellStyle name="표준 127 3" xfId="208"/>
    <cellStyle name="표준 127 3 2" xfId="2053"/>
    <cellStyle name="표준 127 3 3" xfId="2054"/>
    <cellStyle name="표준 127 4" xfId="209"/>
    <cellStyle name="표준 127 4 2" xfId="2055"/>
    <cellStyle name="표준 127 4 3" xfId="2056"/>
    <cellStyle name="표준 127 5" xfId="210"/>
    <cellStyle name="표준 127 5 2" xfId="2057"/>
    <cellStyle name="표준 127 5 3" xfId="2058"/>
    <cellStyle name="표준 127 6" xfId="211"/>
    <cellStyle name="표준 127 6 2" xfId="2059"/>
    <cellStyle name="표준 127 6 3" xfId="2060"/>
    <cellStyle name="표준 127 7" xfId="212"/>
    <cellStyle name="표준 127 7 2" xfId="2061"/>
    <cellStyle name="표준 127 7 3" xfId="2062"/>
    <cellStyle name="표준 127 8" xfId="213"/>
    <cellStyle name="표준 127 8 2" xfId="2063"/>
    <cellStyle name="표준 127 8 3" xfId="2064"/>
    <cellStyle name="표준 127 9" xfId="214"/>
    <cellStyle name="표준 127 9 2" xfId="2065"/>
    <cellStyle name="표준 127 9 3" xfId="2066"/>
    <cellStyle name="표준 128" xfId="215"/>
    <cellStyle name="표준 128 10" xfId="960"/>
    <cellStyle name="표준 128 10 2" xfId="2067"/>
    <cellStyle name="표준 128 10 3" xfId="2068"/>
    <cellStyle name="표준 128 11" xfId="2069"/>
    <cellStyle name="표준 128 12" xfId="2070"/>
    <cellStyle name="표준 128 2" xfId="216"/>
    <cellStyle name="표준 128 2 2" xfId="2071"/>
    <cellStyle name="표준 128 2 3" xfId="2072"/>
    <cellStyle name="표준 128 3" xfId="217"/>
    <cellStyle name="표준 128 3 2" xfId="2073"/>
    <cellStyle name="표준 128 3 3" xfId="2074"/>
    <cellStyle name="표준 128 4" xfId="218"/>
    <cellStyle name="표준 128 4 2" xfId="2075"/>
    <cellStyle name="표준 128 4 3" xfId="2076"/>
    <cellStyle name="표준 128 5" xfId="219"/>
    <cellStyle name="표준 128 5 2" xfId="2077"/>
    <cellStyle name="표준 128 5 3" xfId="2078"/>
    <cellStyle name="표준 128 6" xfId="220"/>
    <cellStyle name="표준 128 6 2" xfId="2079"/>
    <cellStyle name="표준 128 6 3" xfId="2080"/>
    <cellStyle name="표준 128 7" xfId="221"/>
    <cellStyle name="표준 128 7 2" xfId="2081"/>
    <cellStyle name="표준 128 7 3" xfId="2082"/>
    <cellStyle name="표준 128 8" xfId="222"/>
    <cellStyle name="표준 128 8 2" xfId="2083"/>
    <cellStyle name="표준 128 8 3" xfId="2084"/>
    <cellStyle name="표준 128 9" xfId="223"/>
    <cellStyle name="표준 128 9 2" xfId="2085"/>
    <cellStyle name="표준 128 9 3" xfId="2086"/>
    <cellStyle name="표준 129" xfId="224"/>
    <cellStyle name="표준 129 10" xfId="961"/>
    <cellStyle name="표준 129 10 2" xfId="2087"/>
    <cellStyle name="표준 129 10 3" xfId="2088"/>
    <cellStyle name="표준 129 11" xfId="2089"/>
    <cellStyle name="표준 129 12" xfId="2090"/>
    <cellStyle name="표준 129 2" xfId="225"/>
    <cellStyle name="표준 129 2 2" xfId="2091"/>
    <cellStyle name="표준 129 2 3" xfId="2092"/>
    <cellStyle name="표준 129 3" xfId="226"/>
    <cellStyle name="표준 129 3 2" xfId="2093"/>
    <cellStyle name="표준 129 3 3" xfId="2094"/>
    <cellStyle name="표준 129 4" xfId="227"/>
    <cellStyle name="표준 129 4 2" xfId="2095"/>
    <cellStyle name="표준 129 4 3" xfId="2096"/>
    <cellStyle name="표준 129 5" xfId="228"/>
    <cellStyle name="표준 129 5 2" xfId="2097"/>
    <cellStyle name="표준 129 5 3" xfId="2098"/>
    <cellStyle name="표준 129 6" xfId="229"/>
    <cellStyle name="표준 129 6 2" xfId="2099"/>
    <cellStyle name="표준 129 6 3" xfId="2100"/>
    <cellStyle name="표준 129 7" xfId="230"/>
    <cellStyle name="표준 129 7 2" xfId="2101"/>
    <cellStyle name="표준 129 7 3" xfId="2102"/>
    <cellStyle name="표준 129 8" xfId="231"/>
    <cellStyle name="표준 129 8 2" xfId="2103"/>
    <cellStyle name="표준 129 8 3" xfId="2104"/>
    <cellStyle name="표준 129 9" xfId="232"/>
    <cellStyle name="표준 129 9 2" xfId="2105"/>
    <cellStyle name="표준 129 9 3" xfId="2106"/>
    <cellStyle name="표준 13" xfId="233"/>
    <cellStyle name="표준 13 2" xfId="2107"/>
    <cellStyle name="표준 13 3" xfId="2108"/>
    <cellStyle name="표준 130" xfId="962"/>
    <cellStyle name="표준 130 2" xfId="2109"/>
    <cellStyle name="표준 130 3" xfId="2110"/>
    <cellStyle name="표준 131" xfId="963"/>
    <cellStyle name="표준 131 2" xfId="2111"/>
    <cellStyle name="표준 131 3" xfId="2112"/>
    <cellStyle name="표준 132" xfId="234"/>
    <cellStyle name="표준 132 10" xfId="964"/>
    <cellStyle name="표준 132 10 2" xfId="2113"/>
    <cellStyle name="표준 132 10 3" xfId="2114"/>
    <cellStyle name="표준 132 11" xfId="2115"/>
    <cellStyle name="표준 132 12" xfId="2116"/>
    <cellStyle name="표준 132 2" xfId="235"/>
    <cellStyle name="표준 132 2 2" xfId="2117"/>
    <cellStyle name="표준 132 2 3" xfId="2118"/>
    <cellStyle name="표준 132 3" xfId="236"/>
    <cellStyle name="표준 132 3 2" xfId="2119"/>
    <cellStyle name="표준 132 3 3" xfId="2120"/>
    <cellStyle name="표준 132 4" xfId="237"/>
    <cellStyle name="표준 132 4 2" xfId="2121"/>
    <cellStyle name="표준 132 4 3" xfId="2122"/>
    <cellStyle name="표준 132 5" xfId="238"/>
    <cellStyle name="표준 132 5 2" xfId="2123"/>
    <cellStyle name="표준 132 5 3" xfId="2124"/>
    <cellStyle name="표준 132 6" xfId="239"/>
    <cellStyle name="표준 132 6 2" xfId="2125"/>
    <cellStyle name="표준 132 6 3" xfId="2126"/>
    <cellStyle name="표준 132 7" xfId="240"/>
    <cellStyle name="표준 132 7 2" xfId="2127"/>
    <cellStyle name="표준 132 7 3" xfId="2128"/>
    <cellStyle name="표준 132 8" xfId="241"/>
    <cellStyle name="표준 132 8 2" xfId="2129"/>
    <cellStyle name="표준 132 8 3" xfId="2130"/>
    <cellStyle name="표준 132 9" xfId="242"/>
    <cellStyle name="표준 132 9 2" xfId="2131"/>
    <cellStyle name="표준 132 9 3" xfId="2132"/>
    <cellStyle name="표준 133" xfId="243"/>
    <cellStyle name="표준 133 10" xfId="965"/>
    <cellStyle name="표준 133 10 2" xfId="2133"/>
    <cellStyle name="표준 133 10 3" xfId="2134"/>
    <cellStyle name="표준 133 11" xfId="2135"/>
    <cellStyle name="표준 133 12" xfId="2136"/>
    <cellStyle name="표준 133 2" xfId="244"/>
    <cellStyle name="표준 133 2 2" xfId="2137"/>
    <cellStyle name="표준 133 2 3" xfId="2138"/>
    <cellStyle name="표준 133 3" xfId="245"/>
    <cellStyle name="표준 133 3 2" xfId="2139"/>
    <cellStyle name="표준 133 3 3" xfId="2140"/>
    <cellStyle name="표준 133 4" xfId="246"/>
    <cellStyle name="표준 133 4 2" xfId="2141"/>
    <cellStyle name="표준 133 4 3" xfId="2142"/>
    <cellStyle name="표준 133 5" xfId="247"/>
    <cellStyle name="표준 133 5 2" xfId="2143"/>
    <cellStyle name="표준 133 5 3" xfId="2144"/>
    <cellStyle name="표준 133 6" xfId="248"/>
    <cellStyle name="표준 133 6 2" xfId="2145"/>
    <cellStyle name="표준 133 6 3" xfId="2146"/>
    <cellStyle name="표준 133 7" xfId="249"/>
    <cellStyle name="표준 133 7 2" xfId="2147"/>
    <cellStyle name="표준 133 7 3" xfId="2148"/>
    <cellStyle name="표준 133 8" xfId="250"/>
    <cellStyle name="표준 133 8 2" xfId="2149"/>
    <cellStyle name="표준 133 8 3" xfId="2150"/>
    <cellStyle name="표준 133 9" xfId="251"/>
    <cellStyle name="표준 133 9 2" xfId="2151"/>
    <cellStyle name="표준 133 9 3" xfId="2152"/>
    <cellStyle name="표준 134" xfId="252"/>
    <cellStyle name="표준 134 10" xfId="966"/>
    <cellStyle name="표준 134 10 2" xfId="2153"/>
    <cellStyle name="표준 134 10 3" xfId="2154"/>
    <cellStyle name="표준 134 11" xfId="2155"/>
    <cellStyle name="표준 134 12" xfId="2156"/>
    <cellStyle name="표준 134 2" xfId="253"/>
    <cellStyle name="표준 134 2 2" xfId="2157"/>
    <cellStyle name="표준 134 2 3" xfId="2158"/>
    <cellStyle name="표준 134 3" xfId="254"/>
    <cellStyle name="표준 134 3 2" xfId="2159"/>
    <cellStyle name="표준 134 3 3" xfId="2160"/>
    <cellStyle name="표준 134 4" xfId="255"/>
    <cellStyle name="표준 134 4 2" xfId="2161"/>
    <cellStyle name="표준 134 4 3" xfId="2162"/>
    <cellStyle name="표준 134 5" xfId="256"/>
    <cellStyle name="표준 134 5 2" xfId="2163"/>
    <cellStyle name="표준 134 5 3" xfId="2164"/>
    <cellStyle name="표준 134 6" xfId="257"/>
    <cellStyle name="표준 134 6 2" xfId="2165"/>
    <cellStyle name="표준 134 6 3" xfId="2166"/>
    <cellStyle name="표준 134 7" xfId="258"/>
    <cellStyle name="표준 134 7 2" xfId="2167"/>
    <cellStyle name="표준 134 7 3" xfId="2168"/>
    <cellStyle name="표준 134 8" xfId="259"/>
    <cellStyle name="표준 134 8 2" xfId="2169"/>
    <cellStyle name="표준 134 8 3" xfId="2170"/>
    <cellStyle name="표준 134 9" xfId="260"/>
    <cellStyle name="표준 134 9 2" xfId="2171"/>
    <cellStyle name="표준 134 9 3" xfId="2172"/>
    <cellStyle name="표준 135" xfId="261"/>
    <cellStyle name="표준 135 10" xfId="967"/>
    <cellStyle name="표준 135 10 2" xfId="2173"/>
    <cellStyle name="표준 135 10 3" xfId="2174"/>
    <cellStyle name="표준 135 11" xfId="2175"/>
    <cellStyle name="표준 135 12" xfId="2176"/>
    <cellStyle name="표준 135 2" xfId="262"/>
    <cellStyle name="표준 135 2 2" xfId="2177"/>
    <cellStyle name="표준 135 2 3" xfId="2178"/>
    <cellStyle name="표준 135 3" xfId="263"/>
    <cellStyle name="표준 135 3 2" xfId="2179"/>
    <cellStyle name="표준 135 3 3" xfId="2180"/>
    <cellStyle name="표준 135 4" xfId="264"/>
    <cellStyle name="표준 135 4 2" xfId="2181"/>
    <cellStyle name="표준 135 4 3" xfId="2182"/>
    <cellStyle name="표준 135 5" xfId="265"/>
    <cellStyle name="표준 135 5 2" xfId="2183"/>
    <cellStyle name="표준 135 5 3" xfId="2184"/>
    <cellStyle name="표준 135 6" xfId="266"/>
    <cellStyle name="표준 135 6 2" xfId="2185"/>
    <cellStyle name="표준 135 6 3" xfId="2186"/>
    <cellStyle name="표준 135 7" xfId="267"/>
    <cellStyle name="표준 135 7 2" xfId="2187"/>
    <cellStyle name="표준 135 7 3" xfId="2188"/>
    <cellStyle name="표준 135 8" xfId="268"/>
    <cellStyle name="표준 135 8 2" xfId="2189"/>
    <cellStyle name="표준 135 8 3" xfId="2190"/>
    <cellStyle name="표준 135 9" xfId="269"/>
    <cellStyle name="표준 135 9 2" xfId="2191"/>
    <cellStyle name="표준 135 9 3" xfId="2192"/>
    <cellStyle name="표준 136" xfId="270"/>
    <cellStyle name="표준 136 10" xfId="968"/>
    <cellStyle name="표준 136 10 2" xfId="2193"/>
    <cellStyle name="표준 136 10 3" xfId="2194"/>
    <cellStyle name="표준 136 11" xfId="2195"/>
    <cellStyle name="표준 136 12" xfId="2196"/>
    <cellStyle name="표준 136 2" xfId="271"/>
    <cellStyle name="표준 136 2 2" xfId="2197"/>
    <cellStyle name="표준 136 2 3" xfId="2198"/>
    <cellStyle name="표준 136 3" xfId="272"/>
    <cellStyle name="표준 136 3 2" xfId="2199"/>
    <cellStyle name="표준 136 3 3" xfId="2200"/>
    <cellStyle name="표준 136 4" xfId="273"/>
    <cellStyle name="표준 136 4 2" xfId="2201"/>
    <cellStyle name="표준 136 4 3" xfId="2202"/>
    <cellStyle name="표준 136 5" xfId="274"/>
    <cellStyle name="표준 136 5 2" xfId="2203"/>
    <cellStyle name="표준 136 5 3" xfId="2204"/>
    <cellStyle name="표준 136 6" xfId="275"/>
    <cellStyle name="표준 136 6 2" xfId="2205"/>
    <cellStyle name="표준 136 6 3" xfId="2206"/>
    <cellStyle name="표준 136 7" xfId="276"/>
    <cellStyle name="표준 136 7 2" xfId="2207"/>
    <cellStyle name="표준 136 7 3" xfId="2208"/>
    <cellStyle name="표준 136 8" xfId="277"/>
    <cellStyle name="표준 136 8 2" xfId="2209"/>
    <cellStyle name="표준 136 8 3" xfId="2210"/>
    <cellStyle name="표준 136 9" xfId="278"/>
    <cellStyle name="표준 136 9 2" xfId="2211"/>
    <cellStyle name="표준 136 9 3" xfId="2212"/>
    <cellStyle name="표준 137" xfId="279"/>
    <cellStyle name="표준 137 10" xfId="969"/>
    <cellStyle name="표준 137 10 2" xfId="2213"/>
    <cellStyle name="표준 137 10 3" xfId="2214"/>
    <cellStyle name="표준 137 11" xfId="2215"/>
    <cellStyle name="표준 137 12" xfId="2216"/>
    <cellStyle name="표준 137 2" xfId="280"/>
    <cellStyle name="표준 137 2 2" xfId="2217"/>
    <cellStyle name="표준 137 2 3" xfId="2218"/>
    <cellStyle name="표준 137 3" xfId="281"/>
    <cellStyle name="표준 137 3 2" xfId="2219"/>
    <cellStyle name="표준 137 3 3" xfId="2220"/>
    <cellStyle name="표준 137 4" xfId="282"/>
    <cellStyle name="표준 137 4 2" xfId="2221"/>
    <cellStyle name="표준 137 4 3" xfId="2222"/>
    <cellStyle name="표준 137 5" xfId="283"/>
    <cellStyle name="표준 137 5 2" xfId="2223"/>
    <cellStyle name="표준 137 5 3" xfId="2224"/>
    <cellStyle name="표준 137 6" xfId="284"/>
    <cellStyle name="표준 137 6 2" xfId="2225"/>
    <cellStyle name="표준 137 6 3" xfId="2226"/>
    <cellStyle name="표준 137 7" xfId="285"/>
    <cellStyle name="표준 137 7 2" xfId="2227"/>
    <cellStyle name="표준 137 7 3" xfId="2228"/>
    <cellStyle name="표준 137 8" xfId="286"/>
    <cellStyle name="표준 137 8 2" xfId="2229"/>
    <cellStyle name="표준 137 8 3" xfId="2230"/>
    <cellStyle name="표준 137 9" xfId="287"/>
    <cellStyle name="표준 137 9 2" xfId="2231"/>
    <cellStyle name="표준 137 9 3" xfId="2232"/>
    <cellStyle name="표준 138" xfId="970"/>
    <cellStyle name="표준 138 2" xfId="2233"/>
    <cellStyle name="표준 138 3" xfId="2234"/>
    <cellStyle name="표준 139" xfId="288"/>
    <cellStyle name="표준 139 10" xfId="971"/>
    <cellStyle name="표준 139 10 2" xfId="2235"/>
    <cellStyle name="표준 139 10 3" xfId="2236"/>
    <cellStyle name="표준 139 11" xfId="2237"/>
    <cellStyle name="표준 139 12" xfId="2238"/>
    <cellStyle name="표준 139 2" xfId="289"/>
    <cellStyle name="표준 139 2 2" xfId="2239"/>
    <cellStyle name="표준 139 2 3" xfId="2240"/>
    <cellStyle name="표준 139 3" xfId="290"/>
    <cellStyle name="표준 139 3 2" xfId="2241"/>
    <cellStyle name="표준 139 3 3" xfId="2242"/>
    <cellStyle name="표준 139 4" xfId="291"/>
    <cellStyle name="표준 139 4 2" xfId="2243"/>
    <cellStyle name="표준 139 4 3" xfId="2244"/>
    <cellStyle name="표준 139 5" xfId="292"/>
    <cellStyle name="표준 139 5 2" xfId="2245"/>
    <cellStyle name="표준 139 5 3" xfId="2246"/>
    <cellStyle name="표준 139 6" xfId="293"/>
    <cellStyle name="표준 139 6 2" xfId="2247"/>
    <cellStyle name="표준 139 6 3" xfId="2248"/>
    <cellStyle name="표준 139 7" xfId="294"/>
    <cellStyle name="표준 139 7 2" xfId="2249"/>
    <cellStyle name="표준 139 7 3" xfId="2250"/>
    <cellStyle name="표준 139 8" xfId="295"/>
    <cellStyle name="표준 139 8 2" xfId="2251"/>
    <cellStyle name="표준 139 8 3" xfId="2252"/>
    <cellStyle name="표준 139 9" xfId="296"/>
    <cellStyle name="표준 139 9 2" xfId="2253"/>
    <cellStyle name="표준 139 9 3" xfId="2254"/>
    <cellStyle name="표준 14" xfId="297"/>
    <cellStyle name="표준 14 2" xfId="2255"/>
    <cellStyle name="표준 14 3" xfId="2256"/>
    <cellStyle name="표준 140" xfId="298"/>
    <cellStyle name="표준 140 10" xfId="972"/>
    <cellStyle name="표준 140 10 2" xfId="2257"/>
    <cellStyle name="표준 140 10 3" xfId="2258"/>
    <cellStyle name="표준 140 11" xfId="2259"/>
    <cellStyle name="표준 140 12" xfId="2260"/>
    <cellStyle name="표준 140 2" xfId="299"/>
    <cellStyle name="표준 140 2 2" xfId="2261"/>
    <cellStyle name="표준 140 2 3" xfId="2262"/>
    <cellStyle name="표준 140 3" xfId="300"/>
    <cellStyle name="표준 140 3 2" xfId="2263"/>
    <cellStyle name="표준 140 3 3" xfId="2264"/>
    <cellStyle name="표준 140 4" xfId="301"/>
    <cellStyle name="표준 140 4 2" xfId="2265"/>
    <cellStyle name="표준 140 4 3" xfId="2266"/>
    <cellStyle name="표준 140 5" xfId="302"/>
    <cellStyle name="표준 140 5 2" xfId="2267"/>
    <cellStyle name="표준 140 5 3" xfId="2268"/>
    <cellStyle name="표준 140 6" xfId="303"/>
    <cellStyle name="표준 140 6 2" xfId="2269"/>
    <cellStyle name="표준 140 6 3" xfId="2270"/>
    <cellStyle name="표준 140 7" xfId="304"/>
    <cellStyle name="표준 140 7 2" xfId="2271"/>
    <cellStyle name="표준 140 7 3" xfId="2272"/>
    <cellStyle name="표준 140 8" xfId="305"/>
    <cellStyle name="표준 140 8 2" xfId="2273"/>
    <cellStyle name="표준 140 8 3" xfId="2274"/>
    <cellStyle name="표준 140 9" xfId="306"/>
    <cellStyle name="표준 140 9 2" xfId="2275"/>
    <cellStyle name="표준 140 9 3" xfId="2276"/>
    <cellStyle name="표준 141" xfId="307"/>
    <cellStyle name="표준 141 10" xfId="973"/>
    <cellStyle name="표준 141 10 2" xfId="2277"/>
    <cellStyle name="표준 141 10 3" xfId="2278"/>
    <cellStyle name="표준 141 11" xfId="2279"/>
    <cellStyle name="표준 141 12" xfId="2280"/>
    <cellStyle name="표준 141 2" xfId="308"/>
    <cellStyle name="표준 141 2 2" xfId="2281"/>
    <cellStyle name="표준 141 2 3" xfId="2282"/>
    <cellStyle name="표준 141 3" xfId="309"/>
    <cellStyle name="표준 141 3 2" xfId="2283"/>
    <cellStyle name="표준 141 3 3" xfId="2284"/>
    <cellStyle name="표준 141 4" xfId="310"/>
    <cellStyle name="표준 141 4 2" xfId="2285"/>
    <cellStyle name="표준 141 4 3" xfId="2286"/>
    <cellStyle name="표준 141 5" xfId="311"/>
    <cellStyle name="표준 141 5 2" xfId="2287"/>
    <cellStyle name="표준 141 5 3" xfId="2288"/>
    <cellStyle name="표준 141 6" xfId="312"/>
    <cellStyle name="표준 141 6 2" xfId="2289"/>
    <cellStyle name="표준 141 6 3" xfId="2290"/>
    <cellStyle name="표준 141 7" xfId="313"/>
    <cellStyle name="표준 141 7 2" xfId="2291"/>
    <cellStyle name="표준 141 7 3" xfId="2292"/>
    <cellStyle name="표준 141 8" xfId="314"/>
    <cellStyle name="표준 141 8 2" xfId="2293"/>
    <cellStyle name="표준 141 8 3" xfId="2294"/>
    <cellStyle name="표준 141 9" xfId="315"/>
    <cellStyle name="표준 141 9 2" xfId="2295"/>
    <cellStyle name="표준 141 9 3" xfId="2296"/>
    <cellStyle name="표준 142" xfId="316"/>
    <cellStyle name="표준 142 10" xfId="974"/>
    <cellStyle name="표준 142 10 2" xfId="2297"/>
    <cellStyle name="표준 142 10 3" xfId="2298"/>
    <cellStyle name="표준 142 11" xfId="2299"/>
    <cellStyle name="표준 142 12" xfId="2300"/>
    <cellStyle name="표준 142 2" xfId="317"/>
    <cellStyle name="표준 142 2 2" xfId="2301"/>
    <cellStyle name="표준 142 2 3" xfId="2302"/>
    <cellStyle name="표준 142 3" xfId="318"/>
    <cellStyle name="표준 142 3 2" xfId="2303"/>
    <cellStyle name="표준 142 3 3" xfId="2304"/>
    <cellStyle name="표준 142 4" xfId="319"/>
    <cellStyle name="표준 142 4 2" xfId="2305"/>
    <cellStyle name="표준 142 4 3" xfId="2306"/>
    <cellStyle name="표준 142 5" xfId="320"/>
    <cellStyle name="표준 142 5 2" xfId="2307"/>
    <cellStyle name="표준 142 5 3" xfId="2308"/>
    <cellStyle name="표준 142 6" xfId="321"/>
    <cellStyle name="표준 142 6 2" xfId="2309"/>
    <cellStyle name="표준 142 6 3" xfId="2310"/>
    <cellStyle name="표준 142 7" xfId="322"/>
    <cellStyle name="표준 142 7 2" xfId="2311"/>
    <cellStyle name="표준 142 7 3" xfId="2312"/>
    <cellStyle name="표준 142 8" xfId="323"/>
    <cellStyle name="표준 142 8 2" xfId="2313"/>
    <cellStyle name="표준 142 8 3" xfId="2314"/>
    <cellStyle name="표준 142 9" xfId="324"/>
    <cellStyle name="표준 142 9 2" xfId="2315"/>
    <cellStyle name="표준 142 9 3" xfId="2316"/>
    <cellStyle name="표준 143" xfId="325"/>
    <cellStyle name="표준 143 10" xfId="975"/>
    <cellStyle name="표준 143 10 2" xfId="2317"/>
    <cellStyle name="표준 143 10 3" xfId="2318"/>
    <cellStyle name="표준 143 11" xfId="2319"/>
    <cellStyle name="표준 143 12" xfId="2320"/>
    <cellStyle name="표준 143 2" xfId="326"/>
    <cellStyle name="표준 143 2 2" xfId="2321"/>
    <cellStyle name="표준 143 2 3" xfId="2322"/>
    <cellStyle name="표준 143 3" xfId="327"/>
    <cellStyle name="표준 143 3 2" xfId="2323"/>
    <cellStyle name="표준 143 3 3" xfId="2324"/>
    <cellStyle name="표준 143 4" xfId="328"/>
    <cellStyle name="표준 143 4 2" xfId="2325"/>
    <cellStyle name="표준 143 4 3" xfId="2326"/>
    <cellStyle name="표준 143 5" xfId="329"/>
    <cellStyle name="표준 143 5 2" xfId="2327"/>
    <cellStyle name="표준 143 5 3" xfId="2328"/>
    <cellStyle name="표준 143 6" xfId="330"/>
    <cellStyle name="표준 143 6 2" xfId="2329"/>
    <cellStyle name="표준 143 6 3" xfId="2330"/>
    <cellStyle name="표준 143 7" xfId="331"/>
    <cellStyle name="표준 143 7 2" xfId="2331"/>
    <cellStyle name="표준 143 7 3" xfId="2332"/>
    <cellStyle name="표준 143 8" xfId="332"/>
    <cellStyle name="표준 143 8 2" xfId="2333"/>
    <cellStyle name="표준 143 8 3" xfId="2334"/>
    <cellStyle name="표준 143 9" xfId="333"/>
    <cellStyle name="표준 143 9 2" xfId="2335"/>
    <cellStyle name="표준 143 9 3" xfId="2336"/>
    <cellStyle name="표준 144" xfId="334"/>
    <cellStyle name="표준 144 10" xfId="976"/>
    <cellStyle name="표준 144 10 2" xfId="2337"/>
    <cellStyle name="표준 144 10 3" xfId="2338"/>
    <cellStyle name="표준 144 11" xfId="2339"/>
    <cellStyle name="표준 144 12" xfId="2340"/>
    <cellStyle name="표준 144 2" xfId="335"/>
    <cellStyle name="표준 144 2 2" xfId="2341"/>
    <cellStyle name="표준 144 2 3" xfId="2342"/>
    <cellStyle name="표준 144 3" xfId="336"/>
    <cellStyle name="표준 144 3 2" xfId="2343"/>
    <cellStyle name="표준 144 3 3" xfId="2344"/>
    <cellStyle name="표준 144 4" xfId="337"/>
    <cellStyle name="표준 144 4 2" xfId="2345"/>
    <cellStyle name="표준 144 4 3" xfId="2346"/>
    <cellStyle name="표준 144 5" xfId="338"/>
    <cellStyle name="표준 144 5 2" xfId="2347"/>
    <cellStyle name="표준 144 5 3" xfId="2348"/>
    <cellStyle name="표준 144 6" xfId="339"/>
    <cellStyle name="표준 144 6 2" xfId="2349"/>
    <cellStyle name="표준 144 6 3" xfId="2350"/>
    <cellStyle name="표준 144 7" xfId="340"/>
    <cellStyle name="표준 144 7 2" xfId="2351"/>
    <cellStyle name="표준 144 7 3" xfId="2352"/>
    <cellStyle name="표준 144 8" xfId="341"/>
    <cellStyle name="표준 144 8 2" xfId="2353"/>
    <cellStyle name="표준 144 8 3" xfId="2354"/>
    <cellStyle name="표준 144 9" xfId="342"/>
    <cellStyle name="표준 144 9 2" xfId="2355"/>
    <cellStyle name="표준 144 9 3" xfId="2356"/>
    <cellStyle name="표준 145" xfId="343"/>
    <cellStyle name="표준 145 10" xfId="977"/>
    <cellStyle name="표준 145 10 2" xfId="2357"/>
    <cellStyle name="표준 145 10 3" xfId="2358"/>
    <cellStyle name="표준 145 11" xfId="2359"/>
    <cellStyle name="표준 145 12" xfId="2360"/>
    <cellStyle name="표준 145 2" xfId="344"/>
    <cellStyle name="표준 145 2 2" xfId="2361"/>
    <cellStyle name="표준 145 2 3" xfId="2362"/>
    <cellStyle name="표준 145 3" xfId="345"/>
    <cellStyle name="표준 145 3 2" xfId="2363"/>
    <cellStyle name="표준 145 3 3" xfId="2364"/>
    <cellStyle name="표준 145 4" xfId="346"/>
    <cellStyle name="표준 145 4 2" xfId="2365"/>
    <cellStyle name="표준 145 4 3" xfId="2366"/>
    <cellStyle name="표준 145 5" xfId="347"/>
    <cellStyle name="표준 145 5 2" xfId="2367"/>
    <cellStyle name="표준 145 5 3" xfId="2368"/>
    <cellStyle name="표준 145 6" xfId="348"/>
    <cellStyle name="표준 145 6 2" xfId="2369"/>
    <cellStyle name="표준 145 6 3" xfId="2370"/>
    <cellStyle name="표준 145 7" xfId="349"/>
    <cellStyle name="표준 145 7 2" xfId="2371"/>
    <cellStyle name="표준 145 7 3" xfId="2372"/>
    <cellStyle name="표준 145 8" xfId="350"/>
    <cellStyle name="표준 145 8 2" xfId="2373"/>
    <cellStyle name="표준 145 8 3" xfId="2374"/>
    <cellStyle name="표준 145 9" xfId="351"/>
    <cellStyle name="표준 145 9 2" xfId="2375"/>
    <cellStyle name="표준 145 9 3" xfId="2376"/>
    <cellStyle name="표준 146" xfId="978"/>
    <cellStyle name="표준 146 2" xfId="2377"/>
    <cellStyle name="표준 146 3" xfId="2378"/>
    <cellStyle name="표준 147" xfId="352"/>
    <cellStyle name="표준 147 10" xfId="979"/>
    <cellStyle name="표준 147 10 2" xfId="2379"/>
    <cellStyle name="표준 147 10 3" xfId="2380"/>
    <cellStyle name="표준 147 11" xfId="2381"/>
    <cellStyle name="표준 147 12" xfId="2382"/>
    <cellStyle name="표준 147 2" xfId="353"/>
    <cellStyle name="표준 147 2 2" xfId="2383"/>
    <cellStyle name="표준 147 2 3" xfId="2384"/>
    <cellStyle name="표준 147 3" xfId="354"/>
    <cellStyle name="표준 147 3 2" xfId="2385"/>
    <cellStyle name="표준 147 3 3" xfId="2386"/>
    <cellStyle name="표준 147 4" xfId="355"/>
    <cellStyle name="표준 147 4 2" xfId="2387"/>
    <cellStyle name="표준 147 4 3" xfId="2388"/>
    <cellStyle name="표준 147 5" xfId="356"/>
    <cellStyle name="표준 147 5 2" xfId="2389"/>
    <cellStyle name="표준 147 5 3" xfId="2390"/>
    <cellStyle name="표준 147 6" xfId="357"/>
    <cellStyle name="표준 147 6 2" xfId="2391"/>
    <cellStyle name="표준 147 6 3" xfId="2392"/>
    <cellStyle name="표준 147 7" xfId="358"/>
    <cellStyle name="표준 147 7 2" xfId="2393"/>
    <cellStyle name="표준 147 7 3" xfId="2394"/>
    <cellStyle name="표준 147 8" xfId="359"/>
    <cellStyle name="표준 147 8 2" xfId="2395"/>
    <cellStyle name="표준 147 8 3" xfId="2396"/>
    <cellStyle name="표준 147 9" xfId="360"/>
    <cellStyle name="표준 147 9 2" xfId="2397"/>
    <cellStyle name="표준 147 9 3" xfId="2398"/>
    <cellStyle name="표준 148" xfId="361"/>
    <cellStyle name="표준 148 10" xfId="980"/>
    <cellStyle name="표준 148 10 2" xfId="2399"/>
    <cellStyle name="표준 148 10 3" xfId="2400"/>
    <cellStyle name="표준 148 11" xfId="2401"/>
    <cellStyle name="표준 148 12" xfId="2402"/>
    <cellStyle name="표준 148 2" xfId="362"/>
    <cellStyle name="표준 148 2 2" xfId="2403"/>
    <cellStyle name="표준 148 2 3" xfId="2404"/>
    <cellStyle name="표준 148 3" xfId="363"/>
    <cellStyle name="표준 148 3 2" xfId="2405"/>
    <cellStyle name="표준 148 3 3" xfId="2406"/>
    <cellStyle name="표준 148 4" xfId="364"/>
    <cellStyle name="표준 148 4 2" xfId="2407"/>
    <cellStyle name="표준 148 4 3" xfId="2408"/>
    <cellStyle name="표준 148 5" xfId="365"/>
    <cellStyle name="표준 148 5 2" xfId="2409"/>
    <cellStyle name="표준 148 5 3" xfId="2410"/>
    <cellStyle name="표준 148 6" xfId="366"/>
    <cellStyle name="표준 148 6 2" xfId="2411"/>
    <cellStyle name="표준 148 6 3" xfId="2412"/>
    <cellStyle name="표준 148 7" xfId="367"/>
    <cellStyle name="표준 148 7 2" xfId="2413"/>
    <cellStyle name="표준 148 7 3" xfId="2414"/>
    <cellStyle name="표준 148 8" xfId="368"/>
    <cellStyle name="표준 148 8 2" xfId="2415"/>
    <cellStyle name="표준 148 8 3" xfId="2416"/>
    <cellStyle name="표준 148 9" xfId="369"/>
    <cellStyle name="표준 148 9 2" xfId="2417"/>
    <cellStyle name="표준 148 9 3" xfId="2418"/>
    <cellStyle name="표준 149" xfId="981"/>
    <cellStyle name="표준 149 2" xfId="2419"/>
    <cellStyle name="표준 149 3" xfId="2420"/>
    <cellStyle name="표준 15" xfId="370"/>
    <cellStyle name="표준 15 2" xfId="2421"/>
    <cellStyle name="표준 15 3" xfId="2422"/>
    <cellStyle name="표준 150" xfId="371"/>
    <cellStyle name="표준 150 10" xfId="982"/>
    <cellStyle name="표준 150 10 2" xfId="2423"/>
    <cellStyle name="표준 150 10 3" xfId="2424"/>
    <cellStyle name="표준 150 11" xfId="2425"/>
    <cellStyle name="표준 150 12" xfId="2426"/>
    <cellStyle name="표준 150 2" xfId="372"/>
    <cellStyle name="표준 150 2 2" xfId="2427"/>
    <cellStyle name="표준 150 2 3" xfId="2428"/>
    <cellStyle name="표준 150 3" xfId="373"/>
    <cellStyle name="표준 150 3 2" xfId="2429"/>
    <cellStyle name="표준 150 3 3" xfId="2430"/>
    <cellStyle name="표준 150 4" xfId="374"/>
    <cellStyle name="표준 150 4 2" xfId="2431"/>
    <cellStyle name="표준 150 4 3" xfId="2432"/>
    <cellStyle name="표준 150 5" xfId="375"/>
    <cellStyle name="표준 150 5 2" xfId="2433"/>
    <cellStyle name="표준 150 5 3" xfId="2434"/>
    <cellStyle name="표준 150 6" xfId="376"/>
    <cellStyle name="표준 150 6 2" xfId="2435"/>
    <cellStyle name="표준 150 6 3" xfId="2436"/>
    <cellStyle name="표준 150 7" xfId="377"/>
    <cellStyle name="표준 150 7 2" xfId="2437"/>
    <cellStyle name="표준 150 7 3" xfId="2438"/>
    <cellStyle name="표준 150 8" xfId="378"/>
    <cellStyle name="표준 150 8 2" xfId="2439"/>
    <cellStyle name="표준 150 8 3" xfId="2440"/>
    <cellStyle name="표준 150 9" xfId="379"/>
    <cellStyle name="표준 150 9 2" xfId="2441"/>
    <cellStyle name="표준 150 9 3" xfId="2442"/>
    <cellStyle name="표준 151" xfId="983"/>
    <cellStyle name="표준 151 2" xfId="2443"/>
    <cellStyle name="표준 151 3" xfId="2444"/>
    <cellStyle name="표준 152" xfId="984"/>
    <cellStyle name="표준 152 2" xfId="2445"/>
    <cellStyle name="표준 152 3" xfId="2446"/>
    <cellStyle name="표준 153" xfId="985"/>
    <cellStyle name="표준 153 2" xfId="2447"/>
    <cellStyle name="표준 153 3" xfId="2448"/>
    <cellStyle name="표준 154" xfId="986"/>
    <cellStyle name="표준 154 2" xfId="2449"/>
    <cellStyle name="표준 154 3" xfId="2450"/>
    <cellStyle name="표준 155" xfId="987"/>
    <cellStyle name="표준 155 2" xfId="2451"/>
    <cellStyle name="표준 155 3" xfId="2452"/>
    <cellStyle name="표준 156" xfId="988"/>
    <cellStyle name="표준 156 2" xfId="2453"/>
    <cellStyle name="표준 156 3" xfId="2454"/>
    <cellStyle name="표준 157" xfId="989"/>
    <cellStyle name="표준 157 2" xfId="2455"/>
    <cellStyle name="표준 157 3" xfId="2456"/>
    <cellStyle name="표준 158" xfId="990"/>
    <cellStyle name="표준 158 2" xfId="2457"/>
    <cellStyle name="표준 158 3" xfId="2458"/>
    <cellStyle name="표준 159" xfId="991"/>
    <cellStyle name="표준 159 2" xfId="2459"/>
    <cellStyle name="표준 159 3" xfId="2460"/>
    <cellStyle name="표준 16" xfId="380"/>
    <cellStyle name="표준 16 10" xfId="2461"/>
    <cellStyle name="표준 16 11" xfId="2462"/>
    <cellStyle name="표준 16 2" xfId="1406"/>
    <cellStyle name="표준 16 2 2" xfId="2463"/>
    <cellStyle name="표준 16 2 3" xfId="2464"/>
    <cellStyle name="표준 16 3" xfId="1407"/>
    <cellStyle name="표준 16 3 2" xfId="2465"/>
    <cellStyle name="표준 16 3 3" xfId="2466"/>
    <cellStyle name="표준 16 4" xfId="1408"/>
    <cellStyle name="표준 16 4 2" xfId="2467"/>
    <cellStyle name="표준 16 4 3" xfId="2468"/>
    <cellStyle name="표준 16 5" xfId="1409"/>
    <cellStyle name="표준 16 5 2" xfId="2469"/>
    <cellStyle name="표준 16 5 3" xfId="2470"/>
    <cellStyle name="표준 16 6" xfId="1410"/>
    <cellStyle name="표준 16 6 2" xfId="2471"/>
    <cellStyle name="표준 16 6 3" xfId="2472"/>
    <cellStyle name="표준 16 7" xfId="1411"/>
    <cellStyle name="표준 16 7 2" xfId="2473"/>
    <cellStyle name="표준 16 7 3" xfId="2474"/>
    <cellStyle name="표준 16 8" xfId="1412"/>
    <cellStyle name="표준 16 8 2" xfId="2475"/>
    <cellStyle name="표준 16 8 3" xfId="2476"/>
    <cellStyle name="표준 16 9" xfId="1413"/>
    <cellStyle name="표준 16 9 2" xfId="2477"/>
    <cellStyle name="표준 16 9 3" xfId="2478"/>
    <cellStyle name="표준 160" xfId="992"/>
    <cellStyle name="표준 160 2" xfId="2479"/>
    <cellStyle name="표준 160 3" xfId="2480"/>
    <cellStyle name="표준 161" xfId="993"/>
    <cellStyle name="표준 161 2" xfId="2481"/>
    <cellStyle name="표준 161 3" xfId="2482"/>
    <cellStyle name="표준 162" xfId="994"/>
    <cellStyle name="표준 162 2" xfId="2483"/>
    <cellStyle name="표준 162 3" xfId="2484"/>
    <cellStyle name="표준 163" xfId="995"/>
    <cellStyle name="표준 163 2" xfId="2485"/>
    <cellStyle name="표준 163 3" xfId="2486"/>
    <cellStyle name="표준 164" xfId="996"/>
    <cellStyle name="표준 164 2" xfId="2487"/>
    <cellStyle name="표준 164 3" xfId="2488"/>
    <cellStyle name="표준 165" xfId="997"/>
    <cellStyle name="표준 165 2" xfId="2489"/>
    <cellStyle name="표준 165 3" xfId="2490"/>
    <cellStyle name="표준 166" xfId="998"/>
    <cellStyle name="표준 166 2" xfId="2491"/>
    <cellStyle name="표준 166 3" xfId="2492"/>
    <cellStyle name="표준 167" xfId="999"/>
    <cellStyle name="표준 167 2" xfId="2493"/>
    <cellStyle name="표준 167 3" xfId="2494"/>
    <cellStyle name="표준 168" xfId="1000"/>
    <cellStyle name="표준 168 2" xfId="2495"/>
    <cellStyle name="표준 168 3" xfId="2496"/>
    <cellStyle name="표준 169" xfId="1001"/>
    <cellStyle name="표준 169 2" xfId="2497"/>
    <cellStyle name="표준 169 3" xfId="2498"/>
    <cellStyle name="표준 17" xfId="381"/>
    <cellStyle name="표준 17 2" xfId="2499"/>
    <cellStyle name="표준 17 3" xfId="2500"/>
    <cellStyle name="표준 170" xfId="1002"/>
    <cellStyle name="표준 170 2" xfId="2501"/>
    <cellStyle name="표준 170 3" xfId="2502"/>
    <cellStyle name="표준 171" xfId="1003"/>
    <cellStyle name="표준 171 2" xfId="2503"/>
    <cellStyle name="표준 171 3" xfId="2504"/>
    <cellStyle name="표준 172" xfId="1004"/>
    <cellStyle name="표준 172 2" xfId="2505"/>
    <cellStyle name="표준 172 3" xfId="2506"/>
    <cellStyle name="표준 173" xfId="1005"/>
    <cellStyle name="표준 173 2" xfId="2507"/>
    <cellStyle name="표준 173 3" xfId="2508"/>
    <cellStyle name="표준 174" xfId="1006"/>
    <cellStyle name="표준 174 2" xfId="2509"/>
    <cellStyle name="표준 174 3" xfId="2510"/>
    <cellStyle name="표준 175" xfId="1007"/>
    <cellStyle name="표준 175 2" xfId="2511"/>
    <cellStyle name="표준 175 3" xfId="2512"/>
    <cellStyle name="표준 176" xfId="1008"/>
    <cellStyle name="표준 176 2" xfId="2513"/>
    <cellStyle name="표준 176 3" xfId="2514"/>
    <cellStyle name="표준 177" xfId="1009"/>
    <cellStyle name="표준 177 2" xfId="2515"/>
    <cellStyle name="표준 177 3" xfId="2516"/>
    <cellStyle name="표준 178" xfId="1010"/>
    <cellStyle name="표준 178 2" xfId="2517"/>
    <cellStyle name="표준 178 3" xfId="2518"/>
    <cellStyle name="표준 179" xfId="1011"/>
    <cellStyle name="표준 179 2" xfId="2519"/>
    <cellStyle name="표준 179 3" xfId="2520"/>
    <cellStyle name="표준 18" xfId="382"/>
    <cellStyle name="표준 18 2" xfId="2521"/>
    <cellStyle name="표준 18 3" xfId="2522"/>
    <cellStyle name="표준 180" xfId="1012"/>
    <cellStyle name="표준 180 2" xfId="2523"/>
    <cellStyle name="표준 180 3" xfId="2524"/>
    <cellStyle name="표준 181" xfId="1013"/>
    <cellStyle name="표준 181 2" xfId="2525"/>
    <cellStyle name="표준 181 3" xfId="2526"/>
    <cellStyle name="표준 182" xfId="1014"/>
    <cellStyle name="표준 182 2" xfId="2527"/>
    <cellStyle name="표준 182 3" xfId="2528"/>
    <cellStyle name="표준 183" xfId="1015"/>
    <cellStyle name="표준 183 2" xfId="2529"/>
    <cellStyle name="표준 183 3" xfId="2530"/>
    <cellStyle name="표준 184" xfId="1016"/>
    <cellStyle name="표준 184 2" xfId="2531"/>
    <cellStyle name="표준 184 3" xfId="2532"/>
    <cellStyle name="표준 185" xfId="1017"/>
    <cellStyle name="표준 185 2" xfId="2533"/>
    <cellStyle name="표준 185 3" xfId="2534"/>
    <cellStyle name="표준 186" xfId="1018"/>
    <cellStyle name="표준 186 2" xfId="2535"/>
    <cellStyle name="표준 186 3" xfId="2536"/>
    <cellStyle name="표준 187" xfId="1019"/>
    <cellStyle name="표준 187 2" xfId="2537"/>
    <cellStyle name="표준 187 3" xfId="2538"/>
    <cellStyle name="표준 188" xfId="1020"/>
    <cellStyle name="표준 188 2" xfId="2539"/>
    <cellStyle name="표준 188 3" xfId="2540"/>
    <cellStyle name="표준 189" xfId="1021"/>
    <cellStyle name="표준 189 2" xfId="2541"/>
    <cellStyle name="표준 189 3" xfId="2542"/>
    <cellStyle name="표준 19" xfId="383"/>
    <cellStyle name="표준 19 2" xfId="2543"/>
    <cellStyle name="표준 19 3" xfId="2544"/>
    <cellStyle name="표준 190" xfId="1022"/>
    <cellStyle name="표준 190 2" xfId="2545"/>
    <cellStyle name="표준 190 3" xfId="2546"/>
    <cellStyle name="표준 191" xfId="1023"/>
    <cellStyle name="표준 191 2" xfId="2547"/>
    <cellStyle name="표준 191 3" xfId="2548"/>
    <cellStyle name="표준 192" xfId="1024"/>
    <cellStyle name="표준 192 2" xfId="2549"/>
    <cellStyle name="표준 192 3" xfId="2550"/>
    <cellStyle name="표준 193" xfId="1025"/>
    <cellStyle name="표준 193 2" xfId="2551"/>
    <cellStyle name="표준 193 3" xfId="2552"/>
    <cellStyle name="표준 194" xfId="1026"/>
    <cellStyle name="표준 194 2" xfId="2553"/>
    <cellStyle name="표준 194 3" xfId="2554"/>
    <cellStyle name="표준 195" xfId="1027"/>
    <cellStyle name="표준 195 2" xfId="2555"/>
    <cellStyle name="표준 195 3" xfId="2556"/>
    <cellStyle name="표준 196" xfId="1028"/>
    <cellStyle name="표준 196 2" xfId="2557"/>
    <cellStyle name="표준 196 3" xfId="2558"/>
    <cellStyle name="표준 197" xfId="1029"/>
    <cellStyle name="표준 197 2" xfId="2559"/>
    <cellStyle name="표준 197 3" xfId="2560"/>
    <cellStyle name="표준 198" xfId="1030"/>
    <cellStyle name="표준 198 2" xfId="2561"/>
    <cellStyle name="표준 198 3" xfId="2562"/>
    <cellStyle name="표준 199" xfId="1031"/>
    <cellStyle name="표준 199 2" xfId="2563"/>
    <cellStyle name="표준 199 3" xfId="2564"/>
    <cellStyle name="표준 2" xfId="4"/>
    <cellStyle name="표준 2 10" xfId="384"/>
    <cellStyle name="표준 2 10 2" xfId="385"/>
    <cellStyle name="표준 2 10 2 2" xfId="2565"/>
    <cellStyle name="표준 2 10 2 3" xfId="2566"/>
    <cellStyle name="표준 2 10 3" xfId="386"/>
    <cellStyle name="표준 2 10 3 2" xfId="2567"/>
    <cellStyle name="표준 2 10 3 3" xfId="2568"/>
    <cellStyle name="표준 2 10 4" xfId="387"/>
    <cellStyle name="표준 2 10 4 2" xfId="2569"/>
    <cellStyle name="표준 2 10 4 3" xfId="2570"/>
    <cellStyle name="표준 2 10 5" xfId="388"/>
    <cellStyle name="표준 2 10 5 2" xfId="2571"/>
    <cellStyle name="표준 2 10 5 3" xfId="2572"/>
    <cellStyle name="표준 2 10 6" xfId="389"/>
    <cellStyle name="표준 2 10 6 2" xfId="2573"/>
    <cellStyle name="표준 2 10 6 3" xfId="2574"/>
    <cellStyle name="표준 2 10 7" xfId="2575"/>
    <cellStyle name="표준 2 10 8" xfId="2576"/>
    <cellStyle name="표준 2 100" xfId="390"/>
    <cellStyle name="표준 2 100 2" xfId="1032"/>
    <cellStyle name="표준 2 100 2 2" xfId="2577"/>
    <cellStyle name="표준 2 100 2 3" xfId="2578"/>
    <cellStyle name="표준 2 100 3" xfId="2579"/>
    <cellStyle name="표준 2 100 4" xfId="2580"/>
    <cellStyle name="표준 2 101" xfId="1033"/>
    <cellStyle name="표준 2 101 2" xfId="2581"/>
    <cellStyle name="표준 2 101 3" xfId="2582"/>
    <cellStyle name="표준 2 102" xfId="1034"/>
    <cellStyle name="표준 2 102 2" xfId="2583"/>
    <cellStyle name="표준 2 102 3" xfId="2584"/>
    <cellStyle name="표준 2 103" xfId="1035"/>
    <cellStyle name="표준 2 103 2" xfId="2585"/>
    <cellStyle name="표준 2 103 3" xfId="2586"/>
    <cellStyle name="표준 2 104" xfId="1036"/>
    <cellStyle name="표준 2 104 2" xfId="2587"/>
    <cellStyle name="표준 2 104 3" xfId="2588"/>
    <cellStyle name="표준 2 105" xfId="1037"/>
    <cellStyle name="표준 2 105 2" xfId="2589"/>
    <cellStyle name="표준 2 105 3" xfId="2590"/>
    <cellStyle name="표준 2 106" xfId="1038"/>
    <cellStyle name="표준 2 106 2" xfId="2591"/>
    <cellStyle name="표준 2 106 3" xfId="2592"/>
    <cellStyle name="표준 2 107" xfId="1039"/>
    <cellStyle name="표준 2 107 2" xfId="2593"/>
    <cellStyle name="표준 2 107 3" xfId="2594"/>
    <cellStyle name="표준 2 108" xfId="1040"/>
    <cellStyle name="표준 2 108 2" xfId="2595"/>
    <cellStyle name="표준 2 108 3" xfId="2596"/>
    <cellStyle name="표준 2 109" xfId="1041"/>
    <cellStyle name="표준 2 109 2" xfId="2597"/>
    <cellStyle name="표준 2 109 3" xfId="2598"/>
    <cellStyle name="표준 2 11" xfId="391"/>
    <cellStyle name="표준 2 11 2" xfId="392"/>
    <cellStyle name="표준 2 11 2 2" xfId="2599"/>
    <cellStyle name="표준 2 11 2 3" xfId="2600"/>
    <cellStyle name="표준 2 11 3" xfId="393"/>
    <cellStyle name="표준 2 11 3 2" xfId="2601"/>
    <cellStyle name="표준 2 11 3 3" xfId="2602"/>
    <cellStyle name="표준 2 11 4" xfId="394"/>
    <cellStyle name="표준 2 11 4 2" xfId="2603"/>
    <cellStyle name="표준 2 11 4 3" xfId="2604"/>
    <cellStyle name="표준 2 11 5" xfId="395"/>
    <cellStyle name="표준 2 11 5 2" xfId="2605"/>
    <cellStyle name="표준 2 11 5 3" xfId="2606"/>
    <cellStyle name="표준 2 11 6" xfId="396"/>
    <cellStyle name="표준 2 11 6 2" xfId="2607"/>
    <cellStyle name="표준 2 11 6 3" xfId="2608"/>
    <cellStyle name="표준 2 11 7" xfId="2609"/>
    <cellStyle name="표준 2 11 8" xfId="2610"/>
    <cellStyle name="표준 2 110" xfId="1042"/>
    <cellStyle name="표준 2 110 2" xfId="2611"/>
    <cellStyle name="표준 2 110 3" xfId="2612"/>
    <cellStyle name="표준 2 111" xfId="1043"/>
    <cellStyle name="표준 2 111 2" xfId="2613"/>
    <cellStyle name="표준 2 111 3" xfId="2614"/>
    <cellStyle name="표준 2 112" xfId="1044"/>
    <cellStyle name="표준 2 112 2" xfId="2615"/>
    <cellStyle name="표준 2 112 3" xfId="2616"/>
    <cellStyle name="표준 2 113" xfId="1045"/>
    <cellStyle name="표준 2 113 2" xfId="2617"/>
    <cellStyle name="표준 2 113 3" xfId="2618"/>
    <cellStyle name="표준 2 114" xfId="1046"/>
    <cellStyle name="표준 2 114 2" xfId="2619"/>
    <cellStyle name="표준 2 114 3" xfId="2620"/>
    <cellStyle name="표준 2 115" xfId="1047"/>
    <cellStyle name="표준 2 115 2" xfId="2621"/>
    <cellStyle name="표준 2 115 3" xfId="2622"/>
    <cellStyle name="표준 2 116" xfId="1048"/>
    <cellStyle name="표준 2 116 2" xfId="2623"/>
    <cellStyle name="표준 2 116 3" xfId="2624"/>
    <cellStyle name="표준 2 117" xfId="1049"/>
    <cellStyle name="표준 2 117 2" xfId="2625"/>
    <cellStyle name="표준 2 117 3" xfId="2626"/>
    <cellStyle name="표준 2 118" xfId="1050"/>
    <cellStyle name="표준 2 118 2" xfId="2627"/>
    <cellStyle name="표준 2 118 3" xfId="2628"/>
    <cellStyle name="표준 2 119" xfId="1051"/>
    <cellStyle name="표준 2 119 2" xfId="2629"/>
    <cellStyle name="표준 2 119 3" xfId="2630"/>
    <cellStyle name="표준 2 12" xfId="397"/>
    <cellStyle name="표준 2 12 2" xfId="1052"/>
    <cellStyle name="표준 2 12 2 2" xfId="2631"/>
    <cellStyle name="표준 2 12 2 3" xfId="2632"/>
    <cellStyle name="표준 2 12 3" xfId="2633"/>
    <cellStyle name="표준 2 12 4" xfId="2634"/>
    <cellStyle name="표준 2 120" xfId="1053"/>
    <cellStyle name="표준 2 120 2" xfId="2635"/>
    <cellStyle name="표준 2 120 3" xfId="2636"/>
    <cellStyle name="표준 2 121" xfId="1054"/>
    <cellStyle name="표준 2 121 2" xfId="2637"/>
    <cellStyle name="표준 2 121 3" xfId="2638"/>
    <cellStyle name="표준 2 122" xfId="1055"/>
    <cellStyle name="표준 2 122 2" xfId="2639"/>
    <cellStyle name="표준 2 122 3" xfId="2640"/>
    <cellStyle name="표준 2 123" xfId="1056"/>
    <cellStyle name="표준 2 123 2" xfId="2641"/>
    <cellStyle name="표준 2 123 3" xfId="2642"/>
    <cellStyle name="표준 2 124" xfId="1057"/>
    <cellStyle name="표준 2 124 2" xfId="2643"/>
    <cellStyle name="표준 2 124 3" xfId="2644"/>
    <cellStyle name="표준 2 125" xfId="1058"/>
    <cellStyle name="표준 2 125 2" xfId="2645"/>
    <cellStyle name="표준 2 125 3" xfId="2646"/>
    <cellStyle name="표준 2 126" xfId="1059"/>
    <cellStyle name="표준 2 126 2" xfId="2647"/>
    <cellStyle name="표준 2 126 3" xfId="2648"/>
    <cellStyle name="표준 2 127" xfId="1060"/>
    <cellStyle name="표준 2 127 2" xfId="2649"/>
    <cellStyle name="표준 2 127 3" xfId="2650"/>
    <cellStyle name="표준 2 128" xfId="1061"/>
    <cellStyle name="표준 2 128 2" xfId="2651"/>
    <cellStyle name="표준 2 128 3" xfId="2652"/>
    <cellStyle name="표준 2 129" xfId="1062"/>
    <cellStyle name="표준 2 129 2" xfId="2653"/>
    <cellStyle name="표준 2 129 3" xfId="2654"/>
    <cellStyle name="표준 2 13" xfId="398"/>
    <cellStyle name="표준 2 13 2" xfId="1063"/>
    <cellStyle name="표준 2 13 2 2" xfId="2655"/>
    <cellStyle name="표준 2 13 2 3" xfId="2656"/>
    <cellStyle name="표준 2 13 3" xfId="2657"/>
    <cellStyle name="표준 2 13 4" xfId="2658"/>
    <cellStyle name="표준 2 130" xfId="1064"/>
    <cellStyle name="표준 2 130 2" xfId="2659"/>
    <cellStyle name="표준 2 130 3" xfId="2660"/>
    <cellStyle name="표준 2 131" xfId="1065"/>
    <cellStyle name="표준 2 131 2" xfId="2661"/>
    <cellStyle name="표준 2 131 3" xfId="2662"/>
    <cellStyle name="표준 2 132" xfId="1066"/>
    <cellStyle name="표준 2 132 2" xfId="2663"/>
    <cellStyle name="표준 2 132 3" xfId="2664"/>
    <cellStyle name="표준 2 133" xfId="1067"/>
    <cellStyle name="표준 2 133 2" xfId="2665"/>
    <cellStyle name="표준 2 133 3" xfId="2666"/>
    <cellStyle name="표준 2 134" xfId="1068"/>
    <cellStyle name="표준 2 134 2" xfId="2667"/>
    <cellStyle name="표준 2 134 3" xfId="2668"/>
    <cellStyle name="표준 2 135" xfId="1069"/>
    <cellStyle name="표준 2 135 2" xfId="2669"/>
    <cellStyle name="표준 2 135 3" xfId="2670"/>
    <cellStyle name="표준 2 136" xfId="1070"/>
    <cellStyle name="표준 2 136 2" xfId="2671"/>
    <cellStyle name="표준 2 136 3" xfId="2672"/>
    <cellStyle name="표준 2 137" xfId="1071"/>
    <cellStyle name="표준 2 137 2" xfId="2673"/>
    <cellStyle name="표준 2 137 3" xfId="2674"/>
    <cellStyle name="표준 2 138" xfId="1072"/>
    <cellStyle name="표준 2 138 2" xfId="2675"/>
    <cellStyle name="표준 2 138 3" xfId="2676"/>
    <cellStyle name="표준 2 139" xfId="1073"/>
    <cellStyle name="표준 2 139 2" xfId="2677"/>
    <cellStyle name="표준 2 139 3" xfId="2678"/>
    <cellStyle name="표준 2 14" xfId="399"/>
    <cellStyle name="표준 2 14 2" xfId="1074"/>
    <cellStyle name="표준 2 14 2 2" xfId="2679"/>
    <cellStyle name="표준 2 14 2 3" xfId="2680"/>
    <cellStyle name="표준 2 14 3" xfId="1434"/>
    <cellStyle name="표준 2 14 3 2" xfId="2681"/>
    <cellStyle name="표준 2 14 3 3" xfId="2682"/>
    <cellStyle name="표준 2 14 4" xfId="2683"/>
    <cellStyle name="표준 2 14 5" xfId="2684"/>
    <cellStyle name="표준 2 140" xfId="1075"/>
    <cellStyle name="표준 2 140 2" xfId="2685"/>
    <cellStyle name="표준 2 140 3" xfId="2686"/>
    <cellStyle name="표준 2 141" xfId="1076"/>
    <cellStyle name="표준 2 141 2" xfId="2687"/>
    <cellStyle name="표준 2 141 3" xfId="2688"/>
    <cellStyle name="표준 2 142" xfId="1077"/>
    <cellStyle name="표준 2 142 2" xfId="2689"/>
    <cellStyle name="표준 2 142 3" xfId="2690"/>
    <cellStyle name="표준 2 143" xfId="1078"/>
    <cellStyle name="표준 2 143 2" xfId="2691"/>
    <cellStyle name="표준 2 143 3" xfId="2692"/>
    <cellStyle name="표준 2 144" xfId="1079"/>
    <cellStyle name="표준 2 144 2" xfId="2693"/>
    <cellStyle name="표준 2 144 3" xfId="2694"/>
    <cellStyle name="표준 2 145" xfId="1080"/>
    <cellStyle name="표준 2 145 2" xfId="2695"/>
    <cellStyle name="표준 2 145 3" xfId="2696"/>
    <cellStyle name="표준 2 146" xfId="1081"/>
    <cellStyle name="표준 2 146 2" xfId="2697"/>
    <cellStyle name="표준 2 146 3" xfId="2698"/>
    <cellStyle name="표준 2 147" xfId="1082"/>
    <cellStyle name="표준 2 147 2" xfId="2699"/>
    <cellStyle name="표준 2 147 3" xfId="2700"/>
    <cellStyle name="표준 2 148" xfId="1083"/>
    <cellStyle name="표준 2 148 2" xfId="2701"/>
    <cellStyle name="표준 2 148 3" xfId="2702"/>
    <cellStyle name="표준 2 149" xfId="1084"/>
    <cellStyle name="표준 2 149 2" xfId="2703"/>
    <cellStyle name="표준 2 149 3" xfId="2704"/>
    <cellStyle name="표준 2 15" xfId="400"/>
    <cellStyle name="표준 2 15 2" xfId="1085"/>
    <cellStyle name="표준 2 15 2 2" xfId="2705"/>
    <cellStyle name="표준 2 15 2 3" xfId="2706"/>
    <cellStyle name="표준 2 15 3" xfId="1435"/>
    <cellStyle name="표준 2 15 3 2" xfId="2707"/>
    <cellStyle name="표준 2 15 3 3" xfId="2708"/>
    <cellStyle name="표준 2 15 4" xfId="2709"/>
    <cellStyle name="표준 2 15 5" xfId="2710"/>
    <cellStyle name="표준 2 150" xfId="1086"/>
    <cellStyle name="표준 2 150 2" xfId="2711"/>
    <cellStyle name="표준 2 150 3" xfId="2712"/>
    <cellStyle name="표준 2 151" xfId="1087"/>
    <cellStyle name="표준 2 151 2" xfId="2713"/>
    <cellStyle name="표준 2 151 3" xfId="2714"/>
    <cellStyle name="표준 2 152" xfId="1088"/>
    <cellStyle name="표준 2 152 2" xfId="2715"/>
    <cellStyle name="표준 2 152 3" xfId="2716"/>
    <cellStyle name="표준 2 153" xfId="1089"/>
    <cellStyle name="표준 2 153 2" xfId="2717"/>
    <cellStyle name="표준 2 153 3" xfId="2718"/>
    <cellStyle name="표준 2 154" xfId="1090"/>
    <cellStyle name="표준 2 154 2" xfId="2719"/>
    <cellStyle name="표준 2 154 3" xfId="2720"/>
    <cellStyle name="표준 2 155" xfId="1091"/>
    <cellStyle name="표준 2 155 2" xfId="2721"/>
    <cellStyle name="표준 2 155 3" xfId="2722"/>
    <cellStyle name="표준 2 156" xfId="1092"/>
    <cellStyle name="표준 2 156 2" xfId="2723"/>
    <cellStyle name="표준 2 156 3" xfId="2724"/>
    <cellStyle name="표준 2 157" xfId="1093"/>
    <cellStyle name="표준 2 157 2" xfId="2725"/>
    <cellStyle name="표준 2 157 3" xfId="2726"/>
    <cellStyle name="표준 2 158" xfId="1094"/>
    <cellStyle name="표준 2 158 2" xfId="2727"/>
    <cellStyle name="표준 2 158 3" xfId="2728"/>
    <cellStyle name="표준 2 159" xfId="1095"/>
    <cellStyle name="표준 2 159 2" xfId="2729"/>
    <cellStyle name="표준 2 159 3" xfId="2730"/>
    <cellStyle name="표준 2 16" xfId="401"/>
    <cellStyle name="표준 2 16 2" xfId="1096"/>
    <cellStyle name="표준 2 16 2 2" xfId="2731"/>
    <cellStyle name="표준 2 16 2 3" xfId="2732"/>
    <cellStyle name="표준 2 16 3" xfId="2733"/>
    <cellStyle name="표준 2 16 4" xfId="2734"/>
    <cellStyle name="표준 2 160" xfId="1097"/>
    <cellStyle name="표준 2 160 2" xfId="2735"/>
    <cellStyle name="표준 2 160 3" xfId="2736"/>
    <cellStyle name="표준 2 161" xfId="1098"/>
    <cellStyle name="표준 2 161 2" xfId="2737"/>
    <cellStyle name="표준 2 161 3" xfId="2738"/>
    <cellStyle name="표준 2 162" xfId="1099"/>
    <cellStyle name="표준 2 162 2" xfId="2739"/>
    <cellStyle name="표준 2 162 3" xfId="2740"/>
    <cellStyle name="표준 2 163" xfId="1100"/>
    <cellStyle name="표준 2 163 2" xfId="2741"/>
    <cellStyle name="표준 2 163 3" xfId="2742"/>
    <cellStyle name="표준 2 164" xfId="1101"/>
    <cellStyle name="표준 2 164 2" xfId="2743"/>
    <cellStyle name="표준 2 164 3" xfId="2744"/>
    <cellStyle name="표준 2 165" xfId="1102"/>
    <cellStyle name="표준 2 165 2" xfId="2745"/>
    <cellStyle name="표준 2 165 3" xfId="2746"/>
    <cellStyle name="표준 2 166" xfId="1103"/>
    <cellStyle name="표준 2 166 2" xfId="2747"/>
    <cellStyle name="표준 2 166 3" xfId="2748"/>
    <cellStyle name="표준 2 167" xfId="1104"/>
    <cellStyle name="표준 2 167 2" xfId="2749"/>
    <cellStyle name="표준 2 167 3" xfId="2750"/>
    <cellStyle name="표준 2 168" xfId="1105"/>
    <cellStyle name="표준 2 168 2" xfId="2751"/>
    <cellStyle name="표준 2 168 3" xfId="2752"/>
    <cellStyle name="표준 2 169" xfId="1106"/>
    <cellStyle name="표준 2 169 2" xfId="2753"/>
    <cellStyle name="표준 2 169 3" xfId="2754"/>
    <cellStyle name="표준 2 17" xfId="402"/>
    <cellStyle name="표준 2 17 2" xfId="1107"/>
    <cellStyle name="표준 2 17 2 2" xfId="2755"/>
    <cellStyle name="표준 2 17 2 3" xfId="2756"/>
    <cellStyle name="표준 2 17 3" xfId="2757"/>
    <cellStyle name="표준 2 17 4" xfId="2758"/>
    <cellStyle name="표준 2 170" xfId="1108"/>
    <cellStyle name="표준 2 170 2" xfId="2759"/>
    <cellStyle name="표준 2 170 3" xfId="2760"/>
    <cellStyle name="표준 2 171" xfId="1109"/>
    <cellStyle name="표준 2 171 2" xfId="2761"/>
    <cellStyle name="표준 2 171 3" xfId="2762"/>
    <cellStyle name="표준 2 172" xfId="1110"/>
    <cellStyle name="표준 2 172 2" xfId="2763"/>
    <cellStyle name="표준 2 172 3" xfId="2764"/>
    <cellStyle name="표준 2 173" xfId="1111"/>
    <cellStyle name="표준 2 173 2" xfId="2765"/>
    <cellStyle name="표준 2 173 3" xfId="2766"/>
    <cellStyle name="표준 2 174" xfId="1112"/>
    <cellStyle name="표준 2 174 2" xfId="2767"/>
    <cellStyle name="표준 2 174 3" xfId="2768"/>
    <cellStyle name="표준 2 175" xfId="1113"/>
    <cellStyle name="표준 2 175 2" xfId="2769"/>
    <cellStyle name="표준 2 175 3" xfId="2770"/>
    <cellStyle name="표준 2 176" xfId="1114"/>
    <cellStyle name="표준 2 176 2" xfId="2771"/>
    <cellStyle name="표준 2 176 3" xfId="2772"/>
    <cellStyle name="표준 2 177" xfId="1115"/>
    <cellStyle name="표준 2 177 2" xfId="2773"/>
    <cellStyle name="표준 2 177 3" xfId="2774"/>
    <cellStyle name="표준 2 178" xfId="1116"/>
    <cellStyle name="표준 2 178 2" xfId="2775"/>
    <cellStyle name="표준 2 178 3" xfId="2776"/>
    <cellStyle name="표준 2 179" xfId="1117"/>
    <cellStyle name="표준 2 179 2" xfId="2777"/>
    <cellStyle name="표준 2 179 3" xfId="2778"/>
    <cellStyle name="표준 2 18" xfId="403"/>
    <cellStyle name="표준 2 18 2" xfId="1118"/>
    <cellStyle name="표준 2 18 2 2" xfId="2779"/>
    <cellStyle name="표준 2 18 2 3" xfId="2780"/>
    <cellStyle name="표준 2 18 3" xfId="2781"/>
    <cellStyle name="표준 2 18 4" xfId="2782"/>
    <cellStyle name="표준 2 180" xfId="1119"/>
    <cellStyle name="표준 2 180 2" xfId="2783"/>
    <cellStyle name="표준 2 180 3" xfId="2784"/>
    <cellStyle name="표준 2 181" xfId="1120"/>
    <cellStyle name="표준 2 181 2" xfId="2785"/>
    <cellStyle name="표준 2 181 3" xfId="2786"/>
    <cellStyle name="표준 2 182" xfId="1121"/>
    <cellStyle name="표준 2 182 2" xfId="2787"/>
    <cellStyle name="표준 2 182 3" xfId="2788"/>
    <cellStyle name="표준 2 183" xfId="1122"/>
    <cellStyle name="표준 2 183 2" xfId="2789"/>
    <cellStyle name="표준 2 183 3" xfId="2790"/>
    <cellStyle name="표준 2 184" xfId="1123"/>
    <cellStyle name="표준 2 184 2" xfId="2791"/>
    <cellStyle name="표준 2 184 3" xfId="2792"/>
    <cellStyle name="표준 2 185" xfId="1124"/>
    <cellStyle name="표준 2 185 2" xfId="2793"/>
    <cellStyle name="표준 2 185 3" xfId="2794"/>
    <cellStyle name="표준 2 186" xfId="1125"/>
    <cellStyle name="표준 2 186 2" xfId="2795"/>
    <cellStyle name="표준 2 186 3" xfId="2796"/>
    <cellStyle name="표준 2 187" xfId="1126"/>
    <cellStyle name="표준 2 187 2" xfId="2797"/>
    <cellStyle name="표준 2 187 3" xfId="2798"/>
    <cellStyle name="표준 2 188" xfId="1127"/>
    <cellStyle name="표준 2 188 2" xfId="2799"/>
    <cellStyle name="표준 2 188 3" xfId="2800"/>
    <cellStyle name="표준 2 189" xfId="1128"/>
    <cellStyle name="표준 2 189 2" xfId="2801"/>
    <cellStyle name="표준 2 189 3" xfId="2802"/>
    <cellStyle name="표준 2 19" xfId="404"/>
    <cellStyle name="표준 2 19 2" xfId="1129"/>
    <cellStyle name="표준 2 19 2 2" xfId="2803"/>
    <cellStyle name="표준 2 19 2 3" xfId="2804"/>
    <cellStyle name="표준 2 19 3" xfId="2805"/>
    <cellStyle name="표준 2 19 4" xfId="2806"/>
    <cellStyle name="표준 2 190" xfId="1130"/>
    <cellStyle name="표준 2 190 2" xfId="2807"/>
    <cellStyle name="표준 2 190 3" xfId="2808"/>
    <cellStyle name="표준 2 191" xfId="1131"/>
    <cellStyle name="표준 2 191 2" xfId="2809"/>
    <cellStyle name="표준 2 191 3" xfId="2810"/>
    <cellStyle name="표준 2 192" xfId="1132"/>
    <cellStyle name="표준 2 192 2" xfId="2811"/>
    <cellStyle name="표준 2 192 3" xfId="2812"/>
    <cellStyle name="표준 2 193" xfId="1133"/>
    <cellStyle name="표준 2 193 2" xfId="2813"/>
    <cellStyle name="표준 2 193 3" xfId="2814"/>
    <cellStyle name="표준 2 194" xfId="1134"/>
    <cellStyle name="표준 2 194 2" xfId="2815"/>
    <cellStyle name="표준 2 194 3" xfId="2816"/>
    <cellStyle name="표준 2 195" xfId="1135"/>
    <cellStyle name="표준 2 195 2" xfId="2817"/>
    <cellStyle name="표준 2 195 3" xfId="2818"/>
    <cellStyle name="표준 2 196" xfId="1136"/>
    <cellStyle name="표준 2 196 2" xfId="2819"/>
    <cellStyle name="표준 2 196 3" xfId="2820"/>
    <cellStyle name="표준 2 197" xfId="1137"/>
    <cellStyle name="표준 2 197 2" xfId="2821"/>
    <cellStyle name="표준 2 197 3" xfId="2822"/>
    <cellStyle name="표준 2 198" xfId="1138"/>
    <cellStyle name="표준 2 198 2" xfId="2823"/>
    <cellStyle name="표준 2 198 3" xfId="2824"/>
    <cellStyle name="표준 2 199" xfId="1139"/>
    <cellStyle name="표준 2 199 2" xfId="2825"/>
    <cellStyle name="표준 2 199 3" xfId="2826"/>
    <cellStyle name="표준 2 2" xfId="5"/>
    <cellStyle name="표준 2 2 10" xfId="405"/>
    <cellStyle name="표준 2 2 10 2" xfId="2827"/>
    <cellStyle name="표준 2 2 10 3" xfId="2828"/>
    <cellStyle name="표준 2 2 11" xfId="406"/>
    <cellStyle name="표준 2 2 11 2" xfId="2829"/>
    <cellStyle name="표준 2 2 11 3" xfId="2830"/>
    <cellStyle name="표준 2 2 12" xfId="407"/>
    <cellStyle name="표준 2 2 12 2" xfId="2831"/>
    <cellStyle name="표준 2 2 12 3" xfId="2832"/>
    <cellStyle name="표준 2 2 13" xfId="408"/>
    <cellStyle name="표준 2 2 13 2" xfId="2833"/>
    <cellStyle name="표준 2 2 13 3" xfId="2834"/>
    <cellStyle name="표준 2 2 14" xfId="409"/>
    <cellStyle name="표준 2 2 14 2" xfId="2835"/>
    <cellStyle name="표준 2 2 14 3" xfId="2836"/>
    <cellStyle name="표준 2 2 15" xfId="410"/>
    <cellStyle name="표준 2 2 15 2" xfId="2837"/>
    <cellStyle name="표준 2 2 15 3" xfId="2838"/>
    <cellStyle name="표준 2 2 16" xfId="411"/>
    <cellStyle name="표준 2 2 16 2" xfId="2839"/>
    <cellStyle name="표준 2 2 16 3" xfId="2840"/>
    <cellStyle name="표준 2 2 17" xfId="412"/>
    <cellStyle name="표준 2 2 17 2" xfId="2841"/>
    <cellStyle name="표준 2 2 17 3" xfId="2842"/>
    <cellStyle name="표준 2 2 18" xfId="413"/>
    <cellStyle name="표준 2 2 18 2" xfId="2843"/>
    <cellStyle name="표준 2 2 18 3" xfId="2844"/>
    <cellStyle name="표준 2 2 19" xfId="414"/>
    <cellStyle name="표준 2 2 19 2" xfId="2845"/>
    <cellStyle name="표준 2 2 19 3" xfId="2846"/>
    <cellStyle name="표준 2 2 2" xfId="415"/>
    <cellStyle name="표준 2 2 2 10" xfId="416"/>
    <cellStyle name="표준 2 2 2 10 2" xfId="2847"/>
    <cellStyle name="표준 2 2 2 10 3" xfId="2848"/>
    <cellStyle name="표준 2 2 2 11" xfId="417"/>
    <cellStyle name="표준 2 2 2 11 2" xfId="2849"/>
    <cellStyle name="표준 2 2 2 11 3" xfId="2850"/>
    <cellStyle name="표준 2 2 2 12" xfId="418"/>
    <cellStyle name="표준 2 2 2 12 2" xfId="2851"/>
    <cellStyle name="표준 2 2 2 12 3" xfId="2852"/>
    <cellStyle name="표준 2 2 2 13" xfId="419"/>
    <cellStyle name="표준 2 2 2 13 2" xfId="2853"/>
    <cellStyle name="표준 2 2 2 13 3" xfId="2854"/>
    <cellStyle name="표준 2 2 2 14" xfId="420"/>
    <cellStyle name="표준 2 2 2 14 2" xfId="2855"/>
    <cellStyle name="표준 2 2 2 14 3" xfId="2856"/>
    <cellStyle name="표준 2 2 2 15" xfId="2857"/>
    <cellStyle name="표준 2 2 2 16" xfId="2858"/>
    <cellStyle name="표준 2 2 2 2" xfId="421"/>
    <cellStyle name="표준 2 2 2 2 10" xfId="422"/>
    <cellStyle name="표준 2 2 2 2 10 2" xfId="2859"/>
    <cellStyle name="표준 2 2 2 2 10 3" xfId="2860"/>
    <cellStyle name="표준 2 2 2 2 11" xfId="423"/>
    <cellStyle name="표준 2 2 2 2 11 2" xfId="2861"/>
    <cellStyle name="표준 2 2 2 2 11 3" xfId="2862"/>
    <cellStyle name="표준 2 2 2 2 12" xfId="424"/>
    <cellStyle name="표준 2 2 2 2 12 2" xfId="2863"/>
    <cellStyle name="표준 2 2 2 2 12 3" xfId="2864"/>
    <cellStyle name="표준 2 2 2 2 13" xfId="425"/>
    <cellStyle name="표준 2 2 2 2 13 2" xfId="2865"/>
    <cellStyle name="표준 2 2 2 2 13 3" xfId="2866"/>
    <cellStyle name="표준 2 2 2 2 14" xfId="426"/>
    <cellStyle name="표준 2 2 2 2 14 2" xfId="2867"/>
    <cellStyle name="표준 2 2 2 2 14 3" xfId="2868"/>
    <cellStyle name="표준 2 2 2 2 15" xfId="1436"/>
    <cellStyle name="표준 2 2 2 2 15 2" xfId="2869"/>
    <cellStyle name="표준 2 2 2 2 15 3" xfId="2870"/>
    <cellStyle name="표준 2 2 2 2 16" xfId="1457"/>
    <cellStyle name="표준 2 2 2 2 16 2" xfId="2871"/>
    <cellStyle name="표준 2 2 2 2 16 3" xfId="2872"/>
    <cellStyle name="표준 2 2 2 2 17" xfId="1414"/>
    <cellStyle name="표준 2 2 2 2 17 2" xfId="2873"/>
    <cellStyle name="표준 2 2 2 2 17 3" xfId="2874"/>
    <cellStyle name="표준 2 2 2 2 18" xfId="2875"/>
    <cellStyle name="표준 2 2 2 2 18 2" xfId="2876"/>
    <cellStyle name="표준 2 2 2 2 18 3" xfId="4523"/>
    <cellStyle name="표준 2 2 2 2 19" xfId="2877"/>
    <cellStyle name="표준 2 2 2 2 2" xfId="427"/>
    <cellStyle name="표준 2 2 2 2 2 2" xfId="428"/>
    <cellStyle name="표준 2 2 2 2 2 2 2" xfId="429"/>
    <cellStyle name="표준 2 2 2 2 2 2 2 2" xfId="2878"/>
    <cellStyle name="표준 2 2 2 2 2 2 2 3" xfId="2879"/>
    <cellStyle name="표준 2 2 2 2 2 2 3" xfId="430"/>
    <cellStyle name="표준 2 2 2 2 2 2 3 2" xfId="2880"/>
    <cellStyle name="표준 2 2 2 2 2 2 3 3" xfId="2881"/>
    <cellStyle name="표준 2 2 2 2 2 2 4" xfId="2882"/>
    <cellStyle name="표준 2 2 2 2 2 2 5" xfId="2883"/>
    <cellStyle name="표준 2 2 2 2 2 3" xfId="2884"/>
    <cellStyle name="표준 2 2 2 2 2 4" xfId="2885"/>
    <cellStyle name="표준 2 2 2 2 3" xfId="431"/>
    <cellStyle name="표준 2 2 2 2 3 2" xfId="2886"/>
    <cellStyle name="표준 2 2 2 2 3 3" xfId="2887"/>
    <cellStyle name="표준 2 2 2 2 4" xfId="432"/>
    <cellStyle name="표준 2 2 2 2 4 2" xfId="2888"/>
    <cellStyle name="표준 2 2 2 2 4 3" xfId="2889"/>
    <cellStyle name="표준 2 2 2 2 5" xfId="433"/>
    <cellStyle name="표준 2 2 2 2 5 2" xfId="2890"/>
    <cellStyle name="표준 2 2 2 2 5 3" xfId="2891"/>
    <cellStyle name="표준 2 2 2 2 6" xfId="434"/>
    <cellStyle name="표준 2 2 2 2 6 2" xfId="2892"/>
    <cellStyle name="표준 2 2 2 2 6 3" xfId="2893"/>
    <cellStyle name="표준 2 2 2 2 7" xfId="435"/>
    <cellStyle name="표준 2 2 2 2 7 2" xfId="2894"/>
    <cellStyle name="표준 2 2 2 2 7 3" xfId="2895"/>
    <cellStyle name="표준 2 2 2 2 8" xfId="436"/>
    <cellStyle name="표준 2 2 2 2 8 2" xfId="2896"/>
    <cellStyle name="표준 2 2 2 2 8 3" xfId="2897"/>
    <cellStyle name="표준 2 2 2 2 9" xfId="437"/>
    <cellStyle name="표준 2 2 2 2 9 2" xfId="2898"/>
    <cellStyle name="표준 2 2 2 2 9 3" xfId="2899"/>
    <cellStyle name="표준 2 2 2 3" xfId="438"/>
    <cellStyle name="표준 2 2 2 3 10" xfId="1415"/>
    <cellStyle name="표준 2 2 2 3 10 2" xfId="2900"/>
    <cellStyle name="표준 2 2 2 3 10 3" xfId="2901"/>
    <cellStyle name="표준 2 2 2 3 11" xfId="2902"/>
    <cellStyle name="표준 2 2 2 3 11 2" xfId="2903"/>
    <cellStyle name="표준 2 2 2 3 11 3" xfId="4524"/>
    <cellStyle name="표준 2 2 2 3 12" xfId="2904"/>
    <cellStyle name="표준 2 2 2 3 2" xfId="439"/>
    <cellStyle name="표준 2 2 2 3 2 2" xfId="440"/>
    <cellStyle name="표준 2 2 2 3 2 2 2" xfId="2905"/>
    <cellStyle name="표준 2 2 2 3 2 2 3" xfId="2906"/>
    <cellStyle name="표준 2 2 2 3 2 3" xfId="441"/>
    <cellStyle name="표준 2 2 2 3 2 3 2" xfId="2907"/>
    <cellStyle name="표준 2 2 2 3 2 3 3" xfId="2908"/>
    <cellStyle name="표준 2 2 2 3 2 4" xfId="2909"/>
    <cellStyle name="표준 2 2 2 3 2 5" xfId="2910"/>
    <cellStyle name="표준 2 2 2 3 3" xfId="442"/>
    <cellStyle name="표준 2 2 2 3 3 2" xfId="2911"/>
    <cellStyle name="표준 2 2 2 3 3 3" xfId="2912"/>
    <cellStyle name="표준 2 2 2 3 4" xfId="443"/>
    <cellStyle name="표준 2 2 2 3 4 2" xfId="2913"/>
    <cellStyle name="표준 2 2 2 3 4 3" xfId="2914"/>
    <cellStyle name="표준 2 2 2 3 5" xfId="444"/>
    <cellStyle name="표준 2 2 2 3 5 2" xfId="2915"/>
    <cellStyle name="표준 2 2 2 3 5 3" xfId="2916"/>
    <cellStyle name="표준 2 2 2 3 6" xfId="445"/>
    <cellStyle name="표준 2 2 2 3 6 2" xfId="2917"/>
    <cellStyle name="표준 2 2 2 3 6 3" xfId="2918"/>
    <cellStyle name="표준 2 2 2 3 7" xfId="446"/>
    <cellStyle name="표준 2 2 2 3 7 2" xfId="2919"/>
    <cellStyle name="표준 2 2 2 3 7 3" xfId="2920"/>
    <cellStyle name="표준 2 2 2 3 8" xfId="1437"/>
    <cellStyle name="표준 2 2 2 3 8 2" xfId="2921"/>
    <cellStyle name="표준 2 2 2 3 8 3" xfId="2922"/>
    <cellStyle name="표준 2 2 2 3 9" xfId="1458"/>
    <cellStyle name="표준 2 2 2 3 9 2" xfId="2923"/>
    <cellStyle name="표준 2 2 2 3 9 3" xfId="2924"/>
    <cellStyle name="표준 2 2 2 4" xfId="447"/>
    <cellStyle name="표준 2 2 2 4 2" xfId="448"/>
    <cellStyle name="표준 2 2 2 4 2 2" xfId="2925"/>
    <cellStyle name="표준 2 2 2 4 2 3" xfId="2926"/>
    <cellStyle name="표준 2 2 2 4 3" xfId="449"/>
    <cellStyle name="표준 2 2 2 4 3 2" xfId="2927"/>
    <cellStyle name="표준 2 2 2 4 3 3" xfId="2928"/>
    <cellStyle name="표준 2 2 2 4 4" xfId="450"/>
    <cellStyle name="표준 2 2 2 4 4 2" xfId="2929"/>
    <cellStyle name="표준 2 2 2 4 4 3" xfId="2930"/>
    <cellStyle name="표준 2 2 2 4 5" xfId="451"/>
    <cellStyle name="표준 2 2 2 4 5 2" xfId="2931"/>
    <cellStyle name="표준 2 2 2 4 5 3" xfId="2932"/>
    <cellStyle name="표준 2 2 2 4 6" xfId="452"/>
    <cellStyle name="표준 2 2 2 4 6 2" xfId="2933"/>
    <cellStyle name="표준 2 2 2 4 6 3" xfId="2934"/>
    <cellStyle name="표준 2 2 2 4 7" xfId="2935"/>
    <cellStyle name="표준 2 2 2 4 8" xfId="2936"/>
    <cellStyle name="표준 2 2 2 5" xfId="453"/>
    <cellStyle name="표준 2 2 2 5 2" xfId="454"/>
    <cellStyle name="표준 2 2 2 5 2 2" xfId="2937"/>
    <cellStyle name="표준 2 2 2 5 2 3" xfId="2938"/>
    <cellStyle name="표준 2 2 2 5 3" xfId="455"/>
    <cellStyle name="표준 2 2 2 5 3 2" xfId="2939"/>
    <cellStyle name="표준 2 2 2 5 3 3" xfId="2940"/>
    <cellStyle name="표준 2 2 2 5 4" xfId="456"/>
    <cellStyle name="표준 2 2 2 5 4 2" xfId="2941"/>
    <cellStyle name="표준 2 2 2 5 4 3" xfId="2942"/>
    <cellStyle name="표준 2 2 2 5 5" xfId="457"/>
    <cellStyle name="표준 2 2 2 5 5 2" xfId="2943"/>
    <cellStyle name="표준 2 2 2 5 5 3" xfId="2944"/>
    <cellStyle name="표준 2 2 2 5 6" xfId="458"/>
    <cellStyle name="표준 2 2 2 5 6 2" xfId="2945"/>
    <cellStyle name="표준 2 2 2 5 6 3" xfId="2946"/>
    <cellStyle name="표준 2 2 2 5 7" xfId="2947"/>
    <cellStyle name="표준 2 2 2 5 8" xfId="2948"/>
    <cellStyle name="표준 2 2 2 6" xfId="459"/>
    <cellStyle name="표준 2 2 2 6 2" xfId="2949"/>
    <cellStyle name="표준 2 2 2 6 3" xfId="2950"/>
    <cellStyle name="표준 2 2 2 7" xfId="460"/>
    <cellStyle name="표준 2 2 2 7 2" xfId="2951"/>
    <cellStyle name="표준 2 2 2 7 3" xfId="2952"/>
    <cellStyle name="표준 2 2 2 8" xfId="461"/>
    <cellStyle name="표준 2 2 2 8 2" xfId="2953"/>
    <cellStyle name="표준 2 2 2 8 3" xfId="2954"/>
    <cellStyle name="표준 2 2 2 9" xfId="462"/>
    <cellStyle name="표준 2 2 2 9 2" xfId="2955"/>
    <cellStyle name="표준 2 2 2 9 3" xfId="2956"/>
    <cellStyle name="표준 2 2 20" xfId="463"/>
    <cellStyle name="표준 2 2 20 2" xfId="2957"/>
    <cellStyle name="표준 2 2 20 3" xfId="2958"/>
    <cellStyle name="표준 2 2 21" xfId="464"/>
    <cellStyle name="표준 2 2 21 2" xfId="2959"/>
    <cellStyle name="표준 2 2 21 3" xfId="2960"/>
    <cellStyle name="표준 2 2 22" xfId="465"/>
    <cellStyle name="표준 2 2 22 2" xfId="2961"/>
    <cellStyle name="표준 2 2 22 3" xfId="2962"/>
    <cellStyle name="표준 2 2 23" xfId="466"/>
    <cellStyle name="표준 2 2 23 2" xfId="2963"/>
    <cellStyle name="표준 2 2 23 3" xfId="2964"/>
    <cellStyle name="표준 2 2 24" xfId="467"/>
    <cellStyle name="표준 2 2 24 2" xfId="2965"/>
    <cellStyle name="표준 2 2 24 3" xfId="2966"/>
    <cellStyle name="표준 2 2 25" xfId="468"/>
    <cellStyle name="표준 2 2 25 2" xfId="2967"/>
    <cellStyle name="표준 2 2 25 3" xfId="2968"/>
    <cellStyle name="표준 2 2 26" xfId="469"/>
    <cellStyle name="표준 2 2 26 2" xfId="2969"/>
    <cellStyle name="표준 2 2 26 3" xfId="2970"/>
    <cellStyle name="표준 2 2 27" xfId="470"/>
    <cellStyle name="표준 2 2 27 2" xfId="2971"/>
    <cellStyle name="표준 2 2 27 3" xfId="2972"/>
    <cellStyle name="표준 2 2 28" xfId="471"/>
    <cellStyle name="표준 2 2 28 2" xfId="2973"/>
    <cellStyle name="표준 2 2 28 3" xfId="2974"/>
    <cellStyle name="표준 2 2 29" xfId="472"/>
    <cellStyle name="표준 2 2 29 2" xfId="2975"/>
    <cellStyle name="표준 2 2 29 3" xfId="2976"/>
    <cellStyle name="표준 2 2 3" xfId="473"/>
    <cellStyle name="표준 2 2 3 10" xfId="2977"/>
    <cellStyle name="표준 2 2 3 10 2" xfId="2978"/>
    <cellStyle name="표준 2 2 3 10 3" xfId="4525"/>
    <cellStyle name="표준 2 2 3 11" xfId="2979"/>
    <cellStyle name="표준 2 2 3 2" xfId="474"/>
    <cellStyle name="표준 2 2 3 2 2" xfId="2980"/>
    <cellStyle name="표준 2 2 3 2 3" xfId="2981"/>
    <cellStyle name="표준 2 2 3 3" xfId="475"/>
    <cellStyle name="표준 2 2 3 3 2" xfId="2982"/>
    <cellStyle name="표준 2 2 3 3 3" xfId="2983"/>
    <cellStyle name="표준 2 2 3 4" xfId="476"/>
    <cellStyle name="표준 2 2 3 4 2" xfId="2984"/>
    <cellStyle name="표준 2 2 3 4 3" xfId="2985"/>
    <cellStyle name="표준 2 2 3 5" xfId="477"/>
    <cellStyle name="표준 2 2 3 5 2" xfId="2986"/>
    <cellStyle name="표준 2 2 3 5 3" xfId="2987"/>
    <cellStyle name="표준 2 2 3 6" xfId="478"/>
    <cellStyle name="표준 2 2 3 6 2" xfId="2988"/>
    <cellStyle name="표준 2 2 3 6 3" xfId="2989"/>
    <cellStyle name="표준 2 2 3 7" xfId="1438"/>
    <cellStyle name="표준 2 2 3 7 2" xfId="2990"/>
    <cellStyle name="표준 2 2 3 7 3" xfId="2991"/>
    <cellStyle name="표준 2 2 3 8" xfId="1459"/>
    <cellStyle name="표준 2 2 3 8 2" xfId="2992"/>
    <cellStyle name="표준 2 2 3 8 3" xfId="2993"/>
    <cellStyle name="표준 2 2 3 9" xfId="1416"/>
    <cellStyle name="표준 2 2 3 9 2" xfId="2994"/>
    <cellStyle name="표준 2 2 3 9 3" xfId="2995"/>
    <cellStyle name="표준 2 2 30" xfId="479"/>
    <cellStyle name="표준 2 2 30 2" xfId="2996"/>
    <cellStyle name="표준 2 2 30 3" xfId="2997"/>
    <cellStyle name="표준 2 2 31" xfId="480"/>
    <cellStyle name="표준 2 2 31 2" xfId="2998"/>
    <cellStyle name="표준 2 2 31 3" xfId="2999"/>
    <cellStyle name="표준 2 2 32" xfId="481"/>
    <cellStyle name="표준 2 2 32 2" xfId="3000"/>
    <cellStyle name="표준 2 2 32 3" xfId="3001"/>
    <cellStyle name="표준 2 2 33" xfId="482"/>
    <cellStyle name="표준 2 2 33 2" xfId="3002"/>
    <cellStyle name="표준 2 2 33 3" xfId="3003"/>
    <cellStyle name="표준 2 2 34" xfId="483"/>
    <cellStyle name="표준 2 2 34 2" xfId="3004"/>
    <cellStyle name="표준 2 2 34 3" xfId="3005"/>
    <cellStyle name="표준 2 2 35" xfId="484"/>
    <cellStyle name="표준 2 2 35 2" xfId="3006"/>
    <cellStyle name="표준 2 2 35 3" xfId="3007"/>
    <cellStyle name="표준 2 2 36" xfId="485"/>
    <cellStyle name="표준 2 2 36 2" xfId="3008"/>
    <cellStyle name="표준 2 2 36 3" xfId="3009"/>
    <cellStyle name="표준 2 2 37" xfId="486"/>
    <cellStyle name="표준 2 2 37 2" xfId="3010"/>
    <cellStyle name="표준 2 2 37 3" xfId="3011"/>
    <cellStyle name="표준 2 2 38" xfId="487"/>
    <cellStyle name="표준 2 2 38 2" xfId="3012"/>
    <cellStyle name="표준 2 2 38 3" xfId="3013"/>
    <cellStyle name="표준 2 2 39" xfId="488"/>
    <cellStyle name="표준 2 2 39 2" xfId="3014"/>
    <cellStyle name="표준 2 2 39 3" xfId="3015"/>
    <cellStyle name="표준 2 2 4" xfId="489"/>
    <cellStyle name="표준 2 2 4 10" xfId="3016"/>
    <cellStyle name="표준 2 2 4 10 2" xfId="3017"/>
    <cellStyle name="표준 2 2 4 10 3" xfId="4526"/>
    <cellStyle name="표준 2 2 4 11" xfId="3018"/>
    <cellStyle name="표준 2 2 4 2" xfId="490"/>
    <cellStyle name="표준 2 2 4 2 2" xfId="3019"/>
    <cellStyle name="표준 2 2 4 2 3" xfId="3020"/>
    <cellStyle name="표준 2 2 4 3" xfId="491"/>
    <cellStyle name="표준 2 2 4 3 2" xfId="3021"/>
    <cellStyle name="표준 2 2 4 3 3" xfId="3022"/>
    <cellStyle name="표준 2 2 4 4" xfId="492"/>
    <cellStyle name="표준 2 2 4 4 2" xfId="3023"/>
    <cellStyle name="표준 2 2 4 4 3" xfId="3024"/>
    <cellStyle name="표준 2 2 4 5" xfId="493"/>
    <cellStyle name="표준 2 2 4 5 2" xfId="3025"/>
    <cellStyle name="표준 2 2 4 5 3" xfId="3026"/>
    <cellStyle name="표준 2 2 4 6" xfId="494"/>
    <cellStyle name="표준 2 2 4 6 2" xfId="3027"/>
    <cellStyle name="표준 2 2 4 6 3" xfId="3028"/>
    <cellStyle name="표준 2 2 4 7" xfId="1439"/>
    <cellStyle name="표준 2 2 4 7 2" xfId="3029"/>
    <cellStyle name="표준 2 2 4 7 3" xfId="3030"/>
    <cellStyle name="표준 2 2 4 8" xfId="1460"/>
    <cellStyle name="표준 2 2 4 8 2" xfId="3031"/>
    <cellStyle name="표준 2 2 4 8 3" xfId="3032"/>
    <cellStyle name="표준 2 2 4 9" xfId="1417"/>
    <cellStyle name="표준 2 2 4 9 2" xfId="3033"/>
    <cellStyle name="표준 2 2 4 9 3" xfId="3034"/>
    <cellStyle name="표준 2 2 40" xfId="495"/>
    <cellStyle name="표준 2 2 40 2" xfId="3035"/>
    <cellStyle name="표준 2 2 40 3" xfId="3036"/>
    <cellStyle name="표준 2 2 41" xfId="496"/>
    <cellStyle name="표준 2 2 41 2" xfId="3037"/>
    <cellStyle name="표준 2 2 41 3" xfId="3038"/>
    <cellStyle name="표준 2 2 42" xfId="497"/>
    <cellStyle name="표준 2 2 42 2" xfId="3039"/>
    <cellStyle name="표준 2 2 42 3" xfId="3040"/>
    <cellStyle name="표준 2 2 43" xfId="498"/>
    <cellStyle name="표준 2 2 43 2" xfId="3041"/>
    <cellStyle name="표준 2 2 43 3" xfId="3042"/>
    <cellStyle name="표준 2 2 44" xfId="499"/>
    <cellStyle name="표준 2 2 44 2" xfId="3043"/>
    <cellStyle name="표준 2 2 44 3" xfId="3044"/>
    <cellStyle name="표준 2 2 45" xfId="500"/>
    <cellStyle name="표준 2 2 45 2" xfId="3045"/>
    <cellStyle name="표준 2 2 45 3" xfId="3046"/>
    <cellStyle name="표준 2 2 46" xfId="501"/>
    <cellStyle name="표준 2 2 46 2" xfId="3047"/>
    <cellStyle name="표준 2 2 46 3" xfId="3048"/>
    <cellStyle name="표준 2 2 47" xfId="502"/>
    <cellStyle name="표준 2 2 47 2" xfId="3049"/>
    <cellStyle name="표준 2 2 47 3" xfId="3050"/>
    <cellStyle name="표준 2 2 48" xfId="503"/>
    <cellStyle name="표준 2 2 48 2" xfId="3051"/>
    <cellStyle name="표준 2 2 48 3" xfId="3052"/>
    <cellStyle name="표준 2 2 49" xfId="504"/>
    <cellStyle name="표준 2 2 49 2" xfId="3053"/>
    <cellStyle name="표준 2 2 49 3" xfId="3054"/>
    <cellStyle name="표준 2 2 5" xfId="505"/>
    <cellStyle name="표준 2 2 5 10" xfId="3055"/>
    <cellStyle name="표준 2 2 5 10 2" xfId="3056"/>
    <cellStyle name="표준 2 2 5 10 3" xfId="4527"/>
    <cellStyle name="표준 2 2 5 11" xfId="3057"/>
    <cellStyle name="표준 2 2 5 2" xfId="506"/>
    <cellStyle name="표준 2 2 5 2 2" xfId="3058"/>
    <cellStyle name="표준 2 2 5 2 3" xfId="3059"/>
    <cellStyle name="표준 2 2 5 3" xfId="507"/>
    <cellStyle name="표준 2 2 5 3 2" xfId="3060"/>
    <cellStyle name="표준 2 2 5 3 3" xfId="3061"/>
    <cellStyle name="표준 2 2 5 4" xfId="508"/>
    <cellStyle name="표준 2 2 5 4 2" xfId="3062"/>
    <cellStyle name="표준 2 2 5 4 3" xfId="3063"/>
    <cellStyle name="표준 2 2 5 5" xfId="509"/>
    <cellStyle name="표준 2 2 5 5 2" xfId="3064"/>
    <cellStyle name="표준 2 2 5 5 3" xfId="3065"/>
    <cellStyle name="표준 2 2 5 6" xfId="510"/>
    <cellStyle name="표준 2 2 5 6 2" xfId="3066"/>
    <cellStyle name="표준 2 2 5 6 3" xfId="3067"/>
    <cellStyle name="표준 2 2 5 7" xfId="1440"/>
    <cellStyle name="표준 2 2 5 7 2" xfId="3068"/>
    <cellStyle name="표준 2 2 5 7 3" xfId="3069"/>
    <cellStyle name="표준 2 2 5 8" xfId="1461"/>
    <cellStyle name="표준 2 2 5 8 2" xfId="3070"/>
    <cellStyle name="표준 2 2 5 8 3" xfId="3071"/>
    <cellStyle name="표준 2 2 5 9" xfId="1418"/>
    <cellStyle name="표준 2 2 5 9 2" xfId="3072"/>
    <cellStyle name="표준 2 2 5 9 3" xfId="3073"/>
    <cellStyle name="표준 2 2 50" xfId="511"/>
    <cellStyle name="표준 2 2 50 2" xfId="3074"/>
    <cellStyle name="표준 2 2 50 3" xfId="3075"/>
    <cellStyle name="표준 2 2 51" xfId="512"/>
    <cellStyle name="표준 2 2 51 2" xfId="3076"/>
    <cellStyle name="표준 2 2 51 3" xfId="3077"/>
    <cellStyle name="표준 2 2 52" xfId="513"/>
    <cellStyle name="표준 2 2 52 2" xfId="3078"/>
    <cellStyle name="표준 2 2 52 3" xfId="3079"/>
    <cellStyle name="표준 2 2 53" xfId="514"/>
    <cellStyle name="표준 2 2 53 2" xfId="3080"/>
    <cellStyle name="표준 2 2 53 3" xfId="3081"/>
    <cellStyle name="표준 2 2 54" xfId="515"/>
    <cellStyle name="표준 2 2 54 2" xfId="3082"/>
    <cellStyle name="표준 2 2 54 3" xfId="3083"/>
    <cellStyle name="표준 2 2 55" xfId="516"/>
    <cellStyle name="표준 2 2 55 2" xfId="3084"/>
    <cellStyle name="표준 2 2 55 3" xfId="3085"/>
    <cellStyle name="표준 2 2 56" xfId="517"/>
    <cellStyle name="표준 2 2 56 2" xfId="3086"/>
    <cellStyle name="표준 2 2 56 3" xfId="3087"/>
    <cellStyle name="표준 2 2 57" xfId="518"/>
    <cellStyle name="표준 2 2 57 2" xfId="3088"/>
    <cellStyle name="표준 2 2 57 3" xfId="3089"/>
    <cellStyle name="표준 2 2 58" xfId="519"/>
    <cellStyle name="표준 2 2 58 2" xfId="3090"/>
    <cellStyle name="표준 2 2 58 3" xfId="3091"/>
    <cellStyle name="표준 2 2 59" xfId="520"/>
    <cellStyle name="표준 2 2 59 2" xfId="3092"/>
    <cellStyle name="표준 2 2 59 3" xfId="3093"/>
    <cellStyle name="표준 2 2 6" xfId="521"/>
    <cellStyle name="표준 2 2 6 2" xfId="1441"/>
    <cellStyle name="표준 2 2 6 2 2" xfId="3094"/>
    <cellStyle name="표준 2 2 6 2 3" xfId="3095"/>
    <cellStyle name="표준 2 2 6 3" xfId="1462"/>
    <cellStyle name="표준 2 2 6 3 2" xfId="3096"/>
    <cellStyle name="표준 2 2 6 3 3" xfId="3097"/>
    <cellStyle name="표준 2 2 6 4" xfId="1419"/>
    <cellStyle name="표준 2 2 6 4 2" xfId="3098"/>
    <cellStyle name="표준 2 2 6 4 3" xfId="3099"/>
    <cellStyle name="표준 2 2 6 5" xfId="3100"/>
    <cellStyle name="표준 2 2 6 5 2" xfId="3101"/>
    <cellStyle name="표준 2 2 6 5 3" xfId="4528"/>
    <cellStyle name="표준 2 2 6 6" xfId="3102"/>
    <cellStyle name="표준 2 2 60" xfId="522"/>
    <cellStyle name="표준 2 2 60 2" xfId="3103"/>
    <cellStyle name="표준 2 2 60 3" xfId="3104"/>
    <cellStyle name="표준 2 2 61" xfId="523"/>
    <cellStyle name="표준 2 2 61 2" xfId="3105"/>
    <cellStyle name="표준 2 2 61 3" xfId="3106"/>
    <cellStyle name="표준 2 2 62" xfId="524"/>
    <cellStyle name="표준 2 2 62 2" xfId="3107"/>
    <cellStyle name="표준 2 2 62 3" xfId="3108"/>
    <cellStyle name="표준 2 2 63" xfId="525"/>
    <cellStyle name="표준 2 2 63 2" xfId="3109"/>
    <cellStyle name="표준 2 2 63 3" xfId="3110"/>
    <cellStyle name="표준 2 2 64" xfId="526"/>
    <cellStyle name="표준 2 2 64 2" xfId="3111"/>
    <cellStyle name="표준 2 2 64 3" xfId="3112"/>
    <cellStyle name="표준 2 2 65" xfId="527"/>
    <cellStyle name="표준 2 2 65 2" xfId="3113"/>
    <cellStyle name="표준 2 2 65 3" xfId="3114"/>
    <cellStyle name="표준 2 2 66" xfId="528"/>
    <cellStyle name="표준 2 2 66 2" xfId="3115"/>
    <cellStyle name="표준 2 2 66 3" xfId="3116"/>
    <cellStyle name="표준 2 2 67" xfId="529"/>
    <cellStyle name="표준 2 2 67 2" xfId="3117"/>
    <cellStyle name="표준 2 2 67 3" xfId="3118"/>
    <cellStyle name="표준 2 2 68" xfId="530"/>
    <cellStyle name="표준 2 2 68 2" xfId="3119"/>
    <cellStyle name="표준 2 2 68 3" xfId="3120"/>
    <cellStyle name="표준 2 2 69" xfId="531"/>
    <cellStyle name="표준 2 2 69 2" xfId="3121"/>
    <cellStyle name="표준 2 2 69 3" xfId="3122"/>
    <cellStyle name="표준 2 2 7" xfId="532"/>
    <cellStyle name="표준 2 2 7 2" xfId="1442"/>
    <cellStyle name="표준 2 2 7 2 2" xfId="3123"/>
    <cellStyle name="표준 2 2 7 2 3" xfId="3124"/>
    <cellStyle name="표준 2 2 7 3" xfId="1463"/>
    <cellStyle name="표준 2 2 7 3 2" xfId="3125"/>
    <cellStyle name="표준 2 2 7 3 3" xfId="3126"/>
    <cellStyle name="표준 2 2 7 4" xfId="1420"/>
    <cellStyle name="표준 2 2 7 4 2" xfId="3127"/>
    <cellStyle name="표준 2 2 7 4 3" xfId="3128"/>
    <cellStyle name="표준 2 2 7 5" xfId="3129"/>
    <cellStyle name="표준 2 2 7 5 2" xfId="3130"/>
    <cellStyle name="표준 2 2 7 5 3" xfId="4529"/>
    <cellStyle name="표준 2 2 7 6" xfId="3131"/>
    <cellStyle name="표준 2 2 70" xfId="533"/>
    <cellStyle name="표준 2 2 70 2" xfId="3132"/>
    <cellStyle name="표준 2 2 70 3" xfId="3133"/>
    <cellStyle name="표준 2 2 71" xfId="534"/>
    <cellStyle name="표준 2 2 71 2" xfId="3134"/>
    <cellStyle name="표준 2 2 71 3" xfId="3135"/>
    <cellStyle name="표준 2 2 72" xfId="535"/>
    <cellStyle name="표준 2 2 72 2" xfId="3136"/>
    <cellStyle name="표준 2 2 72 3" xfId="3137"/>
    <cellStyle name="표준 2 2 73" xfId="536"/>
    <cellStyle name="표준 2 2 73 2" xfId="3138"/>
    <cellStyle name="표준 2 2 73 3" xfId="3139"/>
    <cellStyle name="표준 2 2 74" xfId="537"/>
    <cellStyle name="표준 2 2 74 2" xfId="3140"/>
    <cellStyle name="표준 2 2 74 3" xfId="3141"/>
    <cellStyle name="표준 2 2 75" xfId="538"/>
    <cellStyle name="표준 2 2 75 2" xfId="3142"/>
    <cellStyle name="표준 2 2 75 3" xfId="3143"/>
    <cellStyle name="표준 2 2 76" xfId="539"/>
    <cellStyle name="표준 2 2 76 2" xfId="3144"/>
    <cellStyle name="표준 2 2 76 3" xfId="3145"/>
    <cellStyle name="표준 2 2 77" xfId="540"/>
    <cellStyle name="표준 2 2 77 2" xfId="3146"/>
    <cellStyle name="표준 2 2 77 3" xfId="3147"/>
    <cellStyle name="표준 2 2 78" xfId="541"/>
    <cellStyle name="표준 2 2 78 2" xfId="3148"/>
    <cellStyle name="표준 2 2 78 3" xfId="3149"/>
    <cellStyle name="표준 2 2 79" xfId="542"/>
    <cellStyle name="표준 2 2 79 2" xfId="3150"/>
    <cellStyle name="표준 2 2 79 3" xfId="3151"/>
    <cellStyle name="표준 2 2 8" xfId="543"/>
    <cellStyle name="표준 2 2 8 2" xfId="3152"/>
    <cellStyle name="표준 2 2 8 3" xfId="3153"/>
    <cellStyle name="표준 2 2 80" xfId="544"/>
    <cellStyle name="표준 2 2 80 2" xfId="3154"/>
    <cellStyle name="표준 2 2 80 3" xfId="3155"/>
    <cellStyle name="표준 2 2 81" xfId="545"/>
    <cellStyle name="표준 2 2 81 2" xfId="546"/>
    <cellStyle name="표준 2 2 81 2 2" xfId="547"/>
    <cellStyle name="표준 2 2 81 2 2 2" xfId="3156"/>
    <cellStyle name="표준 2 2 81 2 2 3" xfId="3157"/>
    <cellStyle name="표준 2 2 81 2 3" xfId="548"/>
    <cellStyle name="표준 2 2 81 2 3 2" xfId="3158"/>
    <cellStyle name="표준 2 2 81 2 3 3" xfId="3159"/>
    <cellStyle name="표준 2 2 81 2 4" xfId="3160"/>
    <cellStyle name="표준 2 2 81 2 5" xfId="3161"/>
    <cellStyle name="표준 2 2 81 3" xfId="3162"/>
    <cellStyle name="표준 2 2 81 4" xfId="3163"/>
    <cellStyle name="표준 2 2 82" xfId="549"/>
    <cellStyle name="표준 2 2 82 2" xfId="3164"/>
    <cellStyle name="표준 2 2 82 3" xfId="3165"/>
    <cellStyle name="표준 2 2 83" xfId="550"/>
    <cellStyle name="표준 2 2 83 2" xfId="3166"/>
    <cellStyle name="표준 2 2 83 3" xfId="3167"/>
    <cellStyle name="표준 2 2 84" xfId="551"/>
    <cellStyle name="표준 2 2 84 2" xfId="3168"/>
    <cellStyle name="표준 2 2 84 3" xfId="3169"/>
    <cellStyle name="표준 2 2 85" xfId="552"/>
    <cellStyle name="표준 2 2 85 2" xfId="3170"/>
    <cellStyle name="표준 2 2 85 3" xfId="3171"/>
    <cellStyle name="표준 2 2 86" xfId="553"/>
    <cellStyle name="표준 2 2 86 2" xfId="3172"/>
    <cellStyle name="표준 2 2 86 3" xfId="3173"/>
    <cellStyle name="표준 2 2 87" xfId="554"/>
    <cellStyle name="표준 2 2 87 2" xfId="3174"/>
    <cellStyle name="표준 2 2 87 3" xfId="3175"/>
    <cellStyle name="표준 2 2 88" xfId="555"/>
    <cellStyle name="표준 2 2 88 2" xfId="3176"/>
    <cellStyle name="표준 2 2 88 3" xfId="3177"/>
    <cellStyle name="표준 2 2 89" xfId="556"/>
    <cellStyle name="표준 2 2 89 2" xfId="3178"/>
    <cellStyle name="표준 2 2 89 3" xfId="3179"/>
    <cellStyle name="표준 2 2 9" xfId="557"/>
    <cellStyle name="표준 2 2 9 2" xfId="3180"/>
    <cellStyle name="표준 2 2 9 3" xfId="3181"/>
    <cellStyle name="표준 2 2 90" xfId="558"/>
    <cellStyle name="표준 2 2 90 2" xfId="3182"/>
    <cellStyle name="표준 2 2 90 3" xfId="3183"/>
    <cellStyle name="표준 2 2 91" xfId="559"/>
    <cellStyle name="표준 2 2 91 2" xfId="3184"/>
    <cellStyle name="표준 2 2 91 3" xfId="3185"/>
    <cellStyle name="표준 2 2 92" xfId="560"/>
    <cellStyle name="표준 2 2 92 2" xfId="3186"/>
    <cellStyle name="표준 2 2 92 3" xfId="3187"/>
    <cellStyle name="표준 2 2 93" xfId="561"/>
    <cellStyle name="표준 2 2 93 2" xfId="3188"/>
    <cellStyle name="표준 2 2 93 3" xfId="3189"/>
    <cellStyle name="표준 2 2 94" xfId="3190"/>
    <cellStyle name="표준 2 2 95" xfId="3191"/>
    <cellStyle name="표준 2 20" xfId="562"/>
    <cellStyle name="표준 2 20 2" xfId="1140"/>
    <cellStyle name="표준 2 20 2 2" xfId="3192"/>
    <cellStyle name="표준 2 20 2 3" xfId="3193"/>
    <cellStyle name="표준 2 20 3" xfId="3194"/>
    <cellStyle name="표준 2 20 4" xfId="3195"/>
    <cellStyle name="표준 2 200" xfId="1141"/>
    <cellStyle name="표준 2 200 2" xfId="3196"/>
    <cellStyle name="표준 2 200 3" xfId="3197"/>
    <cellStyle name="표준 2 201" xfId="1142"/>
    <cellStyle name="표준 2 201 2" xfId="3198"/>
    <cellStyle name="표준 2 201 3" xfId="3199"/>
    <cellStyle name="표준 2 202" xfId="1143"/>
    <cellStyle name="표준 2 202 2" xfId="3200"/>
    <cellStyle name="표준 2 202 3" xfId="3201"/>
    <cellStyle name="표준 2 203" xfId="1144"/>
    <cellStyle name="표준 2 203 2" xfId="3202"/>
    <cellStyle name="표준 2 203 3" xfId="3203"/>
    <cellStyle name="표준 2 204" xfId="1145"/>
    <cellStyle name="표준 2 204 2" xfId="3204"/>
    <cellStyle name="표준 2 204 3" xfId="3205"/>
    <cellStyle name="표준 2 205" xfId="1146"/>
    <cellStyle name="표준 2 205 2" xfId="3206"/>
    <cellStyle name="표준 2 205 3" xfId="3207"/>
    <cellStyle name="표준 2 206" xfId="1147"/>
    <cellStyle name="표준 2 206 2" xfId="3208"/>
    <cellStyle name="표준 2 206 3" xfId="3209"/>
    <cellStyle name="표준 2 207" xfId="1148"/>
    <cellStyle name="표준 2 207 2" xfId="3210"/>
    <cellStyle name="표준 2 207 3" xfId="3211"/>
    <cellStyle name="표준 2 208" xfId="1149"/>
    <cellStyle name="표준 2 208 2" xfId="3212"/>
    <cellStyle name="표준 2 208 3" xfId="3213"/>
    <cellStyle name="표준 2 209" xfId="1150"/>
    <cellStyle name="표준 2 209 2" xfId="3214"/>
    <cellStyle name="표준 2 209 3" xfId="3215"/>
    <cellStyle name="표준 2 21" xfId="563"/>
    <cellStyle name="표준 2 21 2" xfId="1151"/>
    <cellStyle name="표준 2 21 2 2" xfId="3216"/>
    <cellStyle name="표준 2 21 2 3" xfId="3217"/>
    <cellStyle name="표준 2 21 3" xfId="3218"/>
    <cellStyle name="표준 2 21 4" xfId="3219"/>
    <cellStyle name="표준 2 210" xfId="1152"/>
    <cellStyle name="표준 2 210 2" xfId="3220"/>
    <cellStyle name="표준 2 210 3" xfId="3221"/>
    <cellStyle name="표준 2 211" xfId="1153"/>
    <cellStyle name="표준 2 211 2" xfId="3222"/>
    <cellStyle name="표준 2 211 3" xfId="3223"/>
    <cellStyle name="표준 2 212" xfId="1154"/>
    <cellStyle name="표준 2 212 2" xfId="3224"/>
    <cellStyle name="표준 2 212 3" xfId="3225"/>
    <cellStyle name="표준 2 213" xfId="1155"/>
    <cellStyle name="표준 2 213 2" xfId="3226"/>
    <cellStyle name="표준 2 213 3" xfId="3227"/>
    <cellStyle name="표준 2 214" xfId="1156"/>
    <cellStyle name="표준 2 214 2" xfId="3228"/>
    <cellStyle name="표준 2 214 3" xfId="3229"/>
    <cellStyle name="표준 2 215" xfId="1157"/>
    <cellStyle name="표준 2 215 2" xfId="3230"/>
    <cellStyle name="표준 2 215 3" xfId="3231"/>
    <cellStyle name="표준 2 216" xfId="1158"/>
    <cellStyle name="표준 2 216 2" xfId="3232"/>
    <cellStyle name="표준 2 216 3" xfId="3233"/>
    <cellStyle name="표준 2 217" xfId="1159"/>
    <cellStyle name="표준 2 217 2" xfId="3234"/>
    <cellStyle name="표준 2 217 3" xfId="3235"/>
    <cellStyle name="표준 2 218" xfId="1160"/>
    <cellStyle name="표준 2 218 2" xfId="3236"/>
    <cellStyle name="표준 2 218 3" xfId="3237"/>
    <cellStyle name="표준 2 219" xfId="1161"/>
    <cellStyle name="표준 2 219 2" xfId="3238"/>
    <cellStyle name="표준 2 219 3" xfId="3239"/>
    <cellStyle name="표준 2 22" xfId="564"/>
    <cellStyle name="표준 2 22 2" xfId="1162"/>
    <cellStyle name="표준 2 22 2 2" xfId="3240"/>
    <cellStyle name="표준 2 22 2 3" xfId="3241"/>
    <cellStyle name="표준 2 22 3" xfId="3242"/>
    <cellStyle name="표준 2 22 4" xfId="3243"/>
    <cellStyle name="표준 2 220" xfId="1163"/>
    <cellStyle name="표준 2 220 2" xfId="3244"/>
    <cellStyle name="표준 2 220 3" xfId="3245"/>
    <cellStyle name="표준 2 221" xfId="1164"/>
    <cellStyle name="표준 2 221 2" xfId="3246"/>
    <cellStyle name="표준 2 221 3" xfId="3247"/>
    <cellStyle name="표준 2 222" xfId="1165"/>
    <cellStyle name="표준 2 222 2" xfId="3248"/>
    <cellStyle name="표준 2 222 3" xfId="3249"/>
    <cellStyle name="표준 2 223" xfId="1166"/>
    <cellStyle name="표준 2 223 2" xfId="3250"/>
    <cellStyle name="표준 2 223 3" xfId="3251"/>
    <cellStyle name="표준 2 224" xfId="1167"/>
    <cellStyle name="표준 2 224 2" xfId="3252"/>
    <cellStyle name="표준 2 224 3" xfId="3253"/>
    <cellStyle name="표준 2 225" xfId="1168"/>
    <cellStyle name="표준 2 225 2" xfId="3254"/>
    <cellStyle name="표준 2 225 3" xfId="3255"/>
    <cellStyle name="표준 2 226" xfId="1169"/>
    <cellStyle name="표준 2 226 2" xfId="3256"/>
    <cellStyle name="표준 2 226 3" xfId="3257"/>
    <cellStyle name="표준 2 227" xfId="1170"/>
    <cellStyle name="표준 2 227 2" xfId="3258"/>
    <cellStyle name="표준 2 227 3" xfId="3259"/>
    <cellStyle name="표준 2 228" xfId="1171"/>
    <cellStyle name="표준 2 228 2" xfId="3260"/>
    <cellStyle name="표준 2 228 3" xfId="3261"/>
    <cellStyle name="표준 2 229" xfId="1172"/>
    <cellStyle name="표준 2 229 2" xfId="3262"/>
    <cellStyle name="표준 2 229 3" xfId="3263"/>
    <cellStyle name="표준 2 23" xfId="565"/>
    <cellStyle name="표준 2 23 2" xfId="1173"/>
    <cellStyle name="표준 2 23 2 2" xfId="3264"/>
    <cellStyle name="표준 2 23 2 3" xfId="3265"/>
    <cellStyle name="표준 2 23 3" xfId="3266"/>
    <cellStyle name="표준 2 23 4" xfId="3267"/>
    <cellStyle name="표준 2 230" xfId="1174"/>
    <cellStyle name="표준 2 230 2" xfId="3268"/>
    <cellStyle name="표준 2 230 3" xfId="3269"/>
    <cellStyle name="표준 2 231" xfId="1175"/>
    <cellStyle name="표준 2 231 2" xfId="3270"/>
    <cellStyle name="표준 2 231 3" xfId="3271"/>
    <cellStyle name="표준 2 232" xfId="1176"/>
    <cellStyle name="표준 2 232 2" xfId="3272"/>
    <cellStyle name="표준 2 232 3" xfId="3273"/>
    <cellStyle name="표준 2 233" xfId="1177"/>
    <cellStyle name="표준 2 233 2" xfId="3274"/>
    <cellStyle name="표준 2 233 3" xfId="3275"/>
    <cellStyle name="표준 2 234" xfId="1178"/>
    <cellStyle name="표준 2 234 2" xfId="3276"/>
    <cellStyle name="표준 2 234 3" xfId="3277"/>
    <cellStyle name="표준 2 235" xfId="1179"/>
    <cellStyle name="표준 2 235 2" xfId="3278"/>
    <cellStyle name="표준 2 235 3" xfId="3279"/>
    <cellStyle name="표준 2 236" xfId="1180"/>
    <cellStyle name="표준 2 236 2" xfId="3280"/>
    <cellStyle name="표준 2 236 3" xfId="3281"/>
    <cellStyle name="표준 2 237" xfId="1181"/>
    <cellStyle name="표준 2 237 2" xfId="3282"/>
    <cellStyle name="표준 2 237 3" xfId="3283"/>
    <cellStyle name="표준 2 238" xfId="1182"/>
    <cellStyle name="표준 2 238 2" xfId="3284"/>
    <cellStyle name="표준 2 238 3" xfId="3285"/>
    <cellStyle name="표준 2 239" xfId="1183"/>
    <cellStyle name="표준 2 239 2" xfId="3286"/>
    <cellStyle name="표준 2 239 3" xfId="3287"/>
    <cellStyle name="표준 2 24" xfId="566"/>
    <cellStyle name="표준 2 24 2" xfId="1184"/>
    <cellStyle name="표준 2 24 2 2" xfId="3288"/>
    <cellStyle name="표준 2 24 2 3" xfId="3289"/>
    <cellStyle name="표준 2 24 3" xfId="3290"/>
    <cellStyle name="표준 2 24 4" xfId="3291"/>
    <cellStyle name="표준 2 240" xfId="1185"/>
    <cellStyle name="표준 2 240 2" xfId="3292"/>
    <cellStyle name="표준 2 240 3" xfId="3293"/>
    <cellStyle name="표준 2 241" xfId="1186"/>
    <cellStyle name="표준 2 241 2" xfId="3294"/>
    <cellStyle name="표준 2 241 3" xfId="3295"/>
    <cellStyle name="표준 2 242" xfId="1187"/>
    <cellStyle name="표준 2 242 2" xfId="3296"/>
    <cellStyle name="표준 2 242 3" xfId="3297"/>
    <cellStyle name="표준 2 243" xfId="1188"/>
    <cellStyle name="표준 2 243 2" xfId="3298"/>
    <cellStyle name="표준 2 243 3" xfId="3299"/>
    <cellStyle name="표준 2 244" xfId="1189"/>
    <cellStyle name="표준 2 244 2" xfId="3300"/>
    <cellStyle name="표준 2 244 3" xfId="3301"/>
    <cellStyle name="표준 2 245" xfId="1190"/>
    <cellStyle name="표준 2 245 2" xfId="3302"/>
    <cellStyle name="표준 2 245 3" xfId="3303"/>
    <cellStyle name="표준 2 246" xfId="1191"/>
    <cellStyle name="표준 2 246 2" xfId="3304"/>
    <cellStyle name="표준 2 246 3" xfId="3305"/>
    <cellStyle name="표준 2 247" xfId="1192"/>
    <cellStyle name="표준 2 247 2" xfId="3306"/>
    <cellStyle name="표준 2 247 3" xfId="3307"/>
    <cellStyle name="표준 2 248" xfId="1193"/>
    <cellStyle name="표준 2 248 2" xfId="3308"/>
    <cellStyle name="표준 2 248 3" xfId="3309"/>
    <cellStyle name="표준 2 249" xfId="1194"/>
    <cellStyle name="표준 2 249 2" xfId="3310"/>
    <cellStyle name="표준 2 249 3" xfId="3311"/>
    <cellStyle name="표준 2 25" xfId="567"/>
    <cellStyle name="표준 2 25 2" xfId="1195"/>
    <cellStyle name="표준 2 25 2 2" xfId="3312"/>
    <cellStyle name="표준 2 25 2 3" xfId="3313"/>
    <cellStyle name="표준 2 25 3" xfId="3314"/>
    <cellStyle name="표준 2 25 4" xfId="3315"/>
    <cellStyle name="표준 2 250" xfId="1196"/>
    <cellStyle name="표준 2 250 2" xfId="3316"/>
    <cellStyle name="표준 2 250 3" xfId="3317"/>
    <cellStyle name="표준 2 251" xfId="1197"/>
    <cellStyle name="표준 2 251 2" xfId="3318"/>
    <cellStyle name="표준 2 251 3" xfId="3319"/>
    <cellStyle name="표준 2 252" xfId="1198"/>
    <cellStyle name="표준 2 252 2" xfId="3320"/>
    <cellStyle name="표준 2 252 3" xfId="3321"/>
    <cellStyle name="표준 2 253" xfId="1482"/>
    <cellStyle name="표준 2 253 2" xfId="4502"/>
    <cellStyle name="표준 2 253 3" xfId="4510"/>
    <cellStyle name="표준 2 253 4" xfId="4491"/>
    <cellStyle name="표준 2 254" xfId="1481"/>
    <cellStyle name="표준 2 254 2" xfId="4501"/>
    <cellStyle name="표준 2 254 3" xfId="4516"/>
    <cellStyle name="표준 2 254 4" xfId="4497"/>
    <cellStyle name="표준 2 255" xfId="1497"/>
    <cellStyle name="표준 2 26" xfId="568"/>
    <cellStyle name="표준 2 26 2" xfId="1199"/>
    <cellStyle name="표준 2 26 2 2" xfId="3322"/>
    <cellStyle name="표준 2 26 2 3" xfId="3323"/>
    <cellStyle name="표준 2 26 3" xfId="3324"/>
    <cellStyle name="표준 2 26 4" xfId="3325"/>
    <cellStyle name="표준 2 27" xfId="569"/>
    <cellStyle name="표준 2 27 2" xfId="1200"/>
    <cellStyle name="표준 2 27 2 2" xfId="3326"/>
    <cellStyle name="표준 2 27 2 3" xfId="3327"/>
    <cellStyle name="표준 2 27 3" xfId="3328"/>
    <cellStyle name="표준 2 27 4" xfId="3329"/>
    <cellStyle name="표준 2 28" xfId="570"/>
    <cellStyle name="표준 2 28 2" xfId="1201"/>
    <cellStyle name="표준 2 28 2 2" xfId="3330"/>
    <cellStyle name="표준 2 28 2 3" xfId="3331"/>
    <cellStyle name="표준 2 28 3" xfId="3332"/>
    <cellStyle name="표준 2 28 4" xfId="3333"/>
    <cellStyle name="표준 2 29" xfId="571"/>
    <cellStyle name="표준 2 29 2" xfId="1202"/>
    <cellStyle name="표준 2 29 2 2" xfId="3334"/>
    <cellStyle name="표준 2 29 2 3" xfId="3335"/>
    <cellStyle name="표준 2 29 3" xfId="3336"/>
    <cellStyle name="표준 2 29 4" xfId="3337"/>
    <cellStyle name="표준 2 3" xfId="572"/>
    <cellStyle name="표준 2 3 10" xfId="1443"/>
    <cellStyle name="표준 2 3 10 2" xfId="3338"/>
    <cellStyle name="표준 2 3 10 3" xfId="3339"/>
    <cellStyle name="표준 2 3 11" xfId="3340"/>
    <cellStyle name="표준 2 3 12" xfId="3341"/>
    <cellStyle name="표준 2 3 2" xfId="573"/>
    <cellStyle name="표준 2 3 2 10" xfId="1444"/>
    <cellStyle name="표준 2 3 2 10 2" xfId="3342"/>
    <cellStyle name="표준 2 3 2 10 3" xfId="3343"/>
    <cellStyle name="표준 2 3 2 11" xfId="1464"/>
    <cellStyle name="표준 2 3 2 11 2" xfId="3344"/>
    <cellStyle name="표준 2 3 2 11 3" xfId="3345"/>
    <cellStyle name="표준 2 3 2 12" xfId="1421"/>
    <cellStyle name="표준 2 3 2 12 2" xfId="3346"/>
    <cellStyle name="표준 2 3 2 12 3" xfId="3347"/>
    <cellStyle name="표준 2 3 2 13" xfId="3348"/>
    <cellStyle name="표준 2 3 2 13 2" xfId="3349"/>
    <cellStyle name="표준 2 3 2 13 3" xfId="4530"/>
    <cellStyle name="표준 2 3 2 14" xfId="3350"/>
    <cellStyle name="표준 2 3 2 2" xfId="574"/>
    <cellStyle name="표준 2 3 2 2 2" xfId="575"/>
    <cellStyle name="표준 2 3 2 2 2 2" xfId="576"/>
    <cellStyle name="표준 2 3 2 2 2 2 2" xfId="3351"/>
    <cellStyle name="표준 2 3 2 2 2 2 3" xfId="3352"/>
    <cellStyle name="표준 2 3 2 2 2 3" xfId="577"/>
    <cellStyle name="표준 2 3 2 2 2 3 2" xfId="3353"/>
    <cellStyle name="표준 2 3 2 2 2 3 3" xfId="3354"/>
    <cellStyle name="표준 2 3 2 2 2 4" xfId="3355"/>
    <cellStyle name="표준 2 3 2 2 2 5" xfId="3356"/>
    <cellStyle name="표준 2 3 2 2 3" xfId="3357"/>
    <cellStyle name="표준 2 3 2 2 4" xfId="3358"/>
    <cellStyle name="표준 2 3 2 3" xfId="578"/>
    <cellStyle name="표준 2 3 2 3 2" xfId="3359"/>
    <cellStyle name="표준 2 3 2 3 3" xfId="3360"/>
    <cellStyle name="표준 2 3 2 4" xfId="579"/>
    <cellStyle name="표준 2 3 2 4 2" xfId="3361"/>
    <cellStyle name="표준 2 3 2 4 3" xfId="3362"/>
    <cellStyle name="표준 2 3 2 5" xfId="580"/>
    <cellStyle name="표준 2 3 2 5 2" xfId="3363"/>
    <cellStyle name="표준 2 3 2 5 3" xfId="3364"/>
    <cellStyle name="표준 2 3 2 6" xfId="581"/>
    <cellStyle name="표준 2 3 2 6 2" xfId="3365"/>
    <cellStyle name="표준 2 3 2 6 3" xfId="3366"/>
    <cellStyle name="표준 2 3 2 7" xfId="582"/>
    <cellStyle name="표준 2 3 2 7 2" xfId="3367"/>
    <cellStyle name="표준 2 3 2 7 3" xfId="3368"/>
    <cellStyle name="표준 2 3 2 8" xfId="583"/>
    <cellStyle name="표준 2 3 2 8 2" xfId="3369"/>
    <cellStyle name="표준 2 3 2 8 3" xfId="3370"/>
    <cellStyle name="표준 2 3 2 9" xfId="584"/>
    <cellStyle name="표준 2 3 2 9 2" xfId="3371"/>
    <cellStyle name="표준 2 3 2 9 3" xfId="3372"/>
    <cellStyle name="표준 2 3 3" xfId="585"/>
    <cellStyle name="표준 2 3 3 2" xfId="586"/>
    <cellStyle name="표준 2 3 3 2 2" xfId="587"/>
    <cellStyle name="표준 2 3 3 2 2 2" xfId="3373"/>
    <cellStyle name="표준 2 3 3 2 2 3" xfId="3374"/>
    <cellStyle name="표준 2 3 3 2 3" xfId="588"/>
    <cellStyle name="표준 2 3 3 2 3 2" xfId="3375"/>
    <cellStyle name="표준 2 3 3 2 3 3" xfId="3376"/>
    <cellStyle name="표준 2 3 3 2 4" xfId="3377"/>
    <cellStyle name="표준 2 3 3 2 5" xfId="3378"/>
    <cellStyle name="표준 2 3 3 3" xfId="1445"/>
    <cellStyle name="표준 2 3 3 3 2" xfId="3379"/>
    <cellStyle name="표준 2 3 3 3 3" xfId="3380"/>
    <cellStyle name="표준 2 3 3 4" xfId="1465"/>
    <cellStyle name="표준 2 3 3 4 2" xfId="3381"/>
    <cellStyle name="표준 2 3 3 4 3" xfId="3382"/>
    <cellStyle name="표준 2 3 3 5" xfId="1422"/>
    <cellStyle name="표준 2 3 3 5 2" xfId="3383"/>
    <cellStyle name="표준 2 3 3 5 3" xfId="3384"/>
    <cellStyle name="표준 2 3 3 6" xfId="3385"/>
    <cellStyle name="표준 2 3 3 6 2" xfId="3386"/>
    <cellStyle name="표준 2 3 3 6 3" xfId="4531"/>
    <cellStyle name="표준 2 3 3 7" xfId="3387"/>
    <cellStyle name="표준 2 3 4" xfId="589"/>
    <cellStyle name="표준 2 3 4 2" xfId="3388"/>
    <cellStyle name="표준 2 3 4 3" xfId="3389"/>
    <cellStyle name="표준 2 3 5" xfId="590"/>
    <cellStyle name="표준 2 3 5 2" xfId="3390"/>
    <cellStyle name="표준 2 3 5 3" xfId="3391"/>
    <cellStyle name="표준 2 3 6" xfId="591"/>
    <cellStyle name="표준 2 3 6 2" xfId="3392"/>
    <cellStyle name="표준 2 3 6 3" xfId="3393"/>
    <cellStyle name="표준 2 3 7" xfId="592"/>
    <cellStyle name="표준 2 3 7 2" xfId="3394"/>
    <cellStyle name="표준 2 3 7 3" xfId="3395"/>
    <cellStyle name="표준 2 3 8" xfId="593"/>
    <cellStyle name="표준 2 3 8 2" xfId="3396"/>
    <cellStyle name="표준 2 3 8 3" xfId="3397"/>
    <cellStyle name="표준 2 3 9" xfId="594"/>
    <cellStyle name="표준 2 3 9 2" xfId="3398"/>
    <cellStyle name="표준 2 3 9 3" xfId="3399"/>
    <cellStyle name="표준 2 30" xfId="595"/>
    <cellStyle name="표준 2 30 2" xfId="1203"/>
    <cellStyle name="표준 2 30 2 2" xfId="3400"/>
    <cellStyle name="표준 2 30 2 3" xfId="3401"/>
    <cellStyle name="표준 2 30 3" xfId="3402"/>
    <cellStyle name="표준 2 30 4" xfId="3403"/>
    <cellStyle name="표준 2 31" xfId="596"/>
    <cellStyle name="표준 2 31 2" xfId="1204"/>
    <cellStyle name="표준 2 31 2 2" xfId="3404"/>
    <cellStyle name="표준 2 31 2 3" xfId="3405"/>
    <cellStyle name="표준 2 31 3" xfId="3406"/>
    <cellStyle name="표준 2 31 4" xfId="3407"/>
    <cellStyle name="표준 2 32" xfId="597"/>
    <cellStyle name="표준 2 32 2" xfId="1205"/>
    <cellStyle name="표준 2 32 2 2" xfId="3408"/>
    <cellStyle name="표준 2 32 2 3" xfId="3409"/>
    <cellStyle name="표준 2 32 3" xfId="3410"/>
    <cellStyle name="표준 2 32 4" xfId="3411"/>
    <cellStyle name="표준 2 33" xfId="598"/>
    <cellStyle name="표준 2 33 2" xfId="1206"/>
    <cellStyle name="표준 2 33 2 2" xfId="3412"/>
    <cellStyle name="표준 2 33 2 3" xfId="3413"/>
    <cellStyle name="표준 2 33 3" xfId="3414"/>
    <cellStyle name="표준 2 33 4" xfId="3415"/>
    <cellStyle name="표준 2 34" xfId="599"/>
    <cellStyle name="표준 2 34 2" xfId="1207"/>
    <cellStyle name="표준 2 34 2 2" xfId="3416"/>
    <cellStyle name="표준 2 34 2 3" xfId="3417"/>
    <cellStyle name="표준 2 34 3" xfId="3418"/>
    <cellStyle name="표준 2 34 4" xfId="3419"/>
    <cellStyle name="표준 2 35" xfId="600"/>
    <cellStyle name="표준 2 35 2" xfId="1208"/>
    <cellStyle name="표준 2 35 2 2" xfId="3420"/>
    <cellStyle name="표준 2 35 2 3" xfId="3421"/>
    <cellStyle name="표준 2 35 3" xfId="3422"/>
    <cellStyle name="표준 2 35 4" xfId="3423"/>
    <cellStyle name="표준 2 36" xfId="601"/>
    <cellStyle name="표준 2 36 2" xfId="1209"/>
    <cellStyle name="표준 2 36 2 2" xfId="3424"/>
    <cellStyle name="표준 2 36 2 3" xfId="3425"/>
    <cellStyle name="표준 2 36 3" xfId="3426"/>
    <cellStyle name="표준 2 36 4" xfId="3427"/>
    <cellStyle name="표준 2 37" xfId="602"/>
    <cellStyle name="표준 2 37 2" xfId="1210"/>
    <cellStyle name="표준 2 37 2 2" xfId="3428"/>
    <cellStyle name="표준 2 37 2 3" xfId="3429"/>
    <cellStyle name="표준 2 37 3" xfId="3430"/>
    <cellStyle name="표준 2 37 4" xfId="3431"/>
    <cellStyle name="표준 2 38" xfId="603"/>
    <cellStyle name="표준 2 38 2" xfId="1211"/>
    <cellStyle name="표준 2 38 2 2" xfId="3432"/>
    <cellStyle name="표준 2 38 2 3" xfId="3433"/>
    <cellStyle name="표준 2 38 3" xfId="3434"/>
    <cellStyle name="표준 2 38 4" xfId="3435"/>
    <cellStyle name="표준 2 39" xfId="604"/>
    <cellStyle name="표준 2 39 2" xfId="1212"/>
    <cellStyle name="표준 2 39 2 2" xfId="3436"/>
    <cellStyle name="표준 2 39 2 3" xfId="3437"/>
    <cellStyle name="표준 2 39 3" xfId="3438"/>
    <cellStyle name="표준 2 39 4" xfId="3439"/>
    <cellStyle name="표준 2 4" xfId="605"/>
    <cellStyle name="표준 2 4 2" xfId="1213"/>
    <cellStyle name="표준 2 4 2 2" xfId="3440"/>
    <cellStyle name="표준 2 4 2 3" xfId="3441"/>
    <cellStyle name="표준 2 4 3" xfId="1446"/>
    <cellStyle name="표준 2 4 3 2" xfId="3442"/>
    <cellStyle name="표준 2 4 3 3" xfId="3443"/>
    <cellStyle name="표준 2 4 4" xfId="1466"/>
    <cellStyle name="표준 2 4 4 2" xfId="3444"/>
    <cellStyle name="표준 2 4 4 3" xfId="3445"/>
    <cellStyle name="표준 2 4 5" xfId="1423"/>
    <cellStyle name="표준 2 4 5 2" xfId="3446"/>
    <cellStyle name="표준 2 4 5 3" xfId="3447"/>
    <cellStyle name="표준 2 4 6" xfId="3448"/>
    <cellStyle name="표준 2 4 6 2" xfId="3449"/>
    <cellStyle name="표준 2 4 6 3" xfId="4532"/>
    <cellStyle name="표준 2 4 7" xfId="3450"/>
    <cellStyle name="표준 2 40" xfId="606"/>
    <cellStyle name="표준 2 40 2" xfId="1214"/>
    <cellStyle name="표준 2 40 2 2" xfId="3451"/>
    <cellStyle name="표준 2 40 2 3" xfId="3452"/>
    <cellStyle name="표준 2 40 3" xfId="3453"/>
    <cellStyle name="표준 2 40 4" xfId="3454"/>
    <cellStyle name="표준 2 41" xfId="607"/>
    <cellStyle name="표준 2 41 2" xfId="1215"/>
    <cellStyle name="표준 2 41 2 2" xfId="3455"/>
    <cellStyle name="표준 2 41 2 3" xfId="3456"/>
    <cellStyle name="표준 2 41 3" xfId="3457"/>
    <cellStyle name="표준 2 41 4" xfId="3458"/>
    <cellStyle name="표준 2 42" xfId="608"/>
    <cellStyle name="표준 2 42 2" xfId="1216"/>
    <cellStyle name="표준 2 42 2 2" xfId="3459"/>
    <cellStyle name="표준 2 42 2 3" xfId="3460"/>
    <cellStyle name="표준 2 42 3" xfId="3461"/>
    <cellStyle name="표준 2 42 4" xfId="3462"/>
    <cellStyle name="표준 2 43" xfId="609"/>
    <cellStyle name="표준 2 43 2" xfId="1217"/>
    <cellStyle name="표준 2 43 2 2" xfId="3463"/>
    <cellStyle name="표준 2 43 2 3" xfId="3464"/>
    <cellStyle name="표준 2 43 3" xfId="3465"/>
    <cellStyle name="표준 2 43 4" xfId="3466"/>
    <cellStyle name="표준 2 44" xfId="610"/>
    <cellStyle name="표준 2 44 2" xfId="1218"/>
    <cellStyle name="표준 2 44 2 2" xfId="3467"/>
    <cellStyle name="표준 2 44 2 3" xfId="3468"/>
    <cellStyle name="표준 2 44 3" xfId="3469"/>
    <cellStyle name="표준 2 44 4" xfId="3470"/>
    <cellStyle name="표준 2 45" xfId="611"/>
    <cellStyle name="표준 2 45 2" xfId="1219"/>
    <cellStyle name="표준 2 45 2 2" xfId="3471"/>
    <cellStyle name="표준 2 45 2 3" xfId="3472"/>
    <cellStyle name="표준 2 45 3" xfId="3473"/>
    <cellStyle name="표준 2 45 4" xfId="3474"/>
    <cellStyle name="표준 2 46" xfId="612"/>
    <cellStyle name="표준 2 46 2" xfId="1220"/>
    <cellStyle name="표준 2 46 2 2" xfId="3475"/>
    <cellStyle name="표준 2 46 2 3" xfId="3476"/>
    <cellStyle name="표준 2 46 3" xfId="3477"/>
    <cellStyle name="표준 2 46 4" xfId="3478"/>
    <cellStyle name="표준 2 47" xfId="613"/>
    <cellStyle name="표준 2 47 2" xfId="1221"/>
    <cellStyle name="표준 2 47 2 2" xfId="3479"/>
    <cellStyle name="표준 2 47 2 3" xfId="3480"/>
    <cellStyle name="표준 2 47 3" xfId="3481"/>
    <cellStyle name="표준 2 47 4" xfId="3482"/>
    <cellStyle name="표준 2 48" xfId="614"/>
    <cellStyle name="표준 2 48 2" xfId="1222"/>
    <cellStyle name="표준 2 48 2 2" xfId="3483"/>
    <cellStyle name="표준 2 48 2 3" xfId="3484"/>
    <cellStyle name="표준 2 48 3" xfId="3485"/>
    <cellStyle name="표준 2 48 4" xfId="3486"/>
    <cellStyle name="표준 2 49" xfId="615"/>
    <cellStyle name="표준 2 49 2" xfId="1223"/>
    <cellStyle name="표준 2 49 2 2" xfId="3487"/>
    <cellStyle name="표준 2 49 2 3" xfId="3488"/>
    <cellStyle name="표준 2 49 3" xfId="3489"/>
    <cellStyle name="표준 2 49 4" xfId="3490"/>
    <cellStyle name="표준 2 5" xfId="616"/>
    <cellStyle name="표준 2 5 2" xfId="1224"/>
    <cellStyle name="표준 2 5 2 2" xfId="3491"/>
    <cellStyle name="표준 2 5 2 3" xfId="3492"/>
    <cellStyle name="표준 2 5 3" xfId="1447"/>
    <cellStyle name="표준 2 5 3 2" xfId="3493"/>
    <cellStyle name="표준 2 5 3 3" xfId="3494"/>
    <cellStyle name="표준 2 5 4" xfId="1467"/>
    <cellStyle name="표준 2 5 4 2" xfId="3495"/>
    <cellStyle name="표준 2 5 4 3" xfId="3496"/>
    <cellStyle name="표준 2 5 5" xfId="1424"/>
    <cellStyle name="표준 2 5 5 2" xfId="3497"/>
    <cellStyle name="표준 2 5 5 3" xfId="3498"/>
    <cellStyle name="표준 2 5 6" xfId="3499"/>
    <cellStyle name="표준 2 5 6 2" xfId="3500"/>
    <cellStyle name="표준 2 5 6 3" xfId="4533"/>
    <cellStyle name="표준 2 5 7" xfId="3501"/>
    <cellStyle name="표준 2 50" xfId="617"/>
    <cellStyle name="표준 2 50 2" xfId="1225"/>
    <cellStyle name="표준 2 50 2 2" xfId="3502"/>
    <cellStyle name="표준 2 50 2 3" xfId="3503"/>
    <cellStyle name="표준 2 50 3" xfId="3504"/>
    <cellStyle name="표준 2 50 4" xfId="3505"/>
    <cellStyle name="표준 2 51" xfId="618"/>
    <cellStyle name="표준 2 51 2" xfId="1226"/>
    <cellStyle name="표준 2 51 2 2" xfId="3506"/>
    <cellStyle name="표준 2 51 2 3" xfId="3507"/>
    <cellStyle name="표준 2 51 3" xfId="3508"/>
    <cellStyle name="표준 2 51 4" xfId="3509"/>
    <cellStyle name="표준 2 52" xfId="619"/>
    <cellStyle name="표준 2 52 2" xfId="1227"/>
    <cellStyle name="표준 2 52 2 2" xfId="3510"/>
    <cellStyle name="표준 2 52 2 3" xfId="3511"/>
    <cellStyle name="표준 2 52 3" xfId="3512"/>
    <cellStyle name="표준 2 52 4" xfId="3513"/>
    <cellStyle name="표준 2 53" xfId="620"/>
    <cellStyle name="표준 2 53 2" xfId="1228"/>
    <cellStyle name="표준 2 53 2 2" xfId="3514"/>
    <cellStyle name="표준 2 53 2 3" xfId="3515"/>
    <cellStyle name="표준 2 53 3" xfId="3516"/>
    <cellStyle name="표준 2 53 4" xfId="3517"/>
    <cellStyle name="표준 2 54" xfId="621"/>
    <cellStyle name="표준 2 54 2" xfId="1229"/>
    <cellStyle name="표준 2 54 2 2" xfId="3518"/>
    <cellStyle name="표준 2 54 2 3" xfId="3519"/>
    <cellStyle name="표준 2 54 3" xfId="3520"/>
    <cellStyle name="표준 2 54 4" xfId="3521"/>
    <cellStyle name="표준 2 55" xfId="622"/>
    <cellStyle name="표준 2 55 2" xfId="1230"/>
    <cellStyle name="표준 2 55 2 2" xfId="3522"/>
    <cellStyle name="표준 2 55 2 3" xfId="3523"/>
    <cellStyle name="표준 2 55 3" xfId="3524"/>
    <cellStyle name="표준 2 55 4" xfId="3525"/>
    <cellStyle name="표준 2 56" xfId="623"/>
    <cellStyle name="표준 2 56 2" xfId="1231"/>
    <cellStyle name="표준 2 56 2 2" xfId="3526"/>
    <cellStyle name="표준 2 56 2 3" xfId="3527"/>
    <cellStyle name="표준 2 56 3" xfId="3528"/>
    <cellStyle name="표준 2 56 4" xfId="3529"/>
    <cellStyle name="표준 2 57" xfId="624"/>
    <cellStyle name="표준 2 57 2" xfId="1232"/>
    <cellStyle name="표준 2 57 2 2" xfId="3530"/>
    <cellStyle name="표준 2 57 2 3" xfId="3531"/>
    <cellStyle name="표준 2 57 3" xfId="3532"/>
    <cellStyle name="표준 2 57 4" xfId="3533"/>
    <cellStyle name="표준 2 58" xfId="625"/>
    <cellStyle name="표준 2 58 2" xfId="1233"/>
    <cellStyle name="표준 2 58 2 2" xfId="3534"/>
    <cellStyle name="표준 2 58 2 3" xfId="3535"/>
    <cellStyle name="표준 2 58 3" xfId="3536"/>
    <cellStyle name="표준 2 58 4" xfId="3537"/>
    <cellStyle name="표준 2 59" xfId="626"/>
    <cellStyle name="표준 2 59 2" xfId="1234"/>
    <cellStyle name="표준 2 59 2 2" xfId="3538"/>
    <cellStyle name="표준 2 59 2 3" xfId="3539"/>
    <cellStyle name="표준 2 59 3" xfId="3540"/>
    <cellStyle name="표준 2 59 4" xfId="3541"/>
    <cellStyle name="표준 2 6" xfId="627"/>
    <cellStyle name="표준 2 6 2" xfId="1235"/>
    <cellStyle name="표준 2 6 2 2" xfId="3542"/>
    <cellStyle name="표준 2 6 2 3" xfId="3543"/>
    <cellStyle name="표준 2 6 3" xfId="1448"/>
    <cellStyle name="표준 2 6 3 2" xfId="3544"/>
    <cellStyle name="표준 2 6 3 3" xfId="3545"/>
    <cellStyle name="표준 2 6 4" xfId="1468"/>
    <cellStyle name="표준 2 6 4 2" xfId="3546"/>
    <cellStyle name="표준 2 6 4 3" xfId="3547"/>
    <cellStyle name="표준 2 6 5" xfId="1425"/>
    <cellStyle name="표준 2 6 5 2" xfId="3548"/>
    <cellStyle name="표준 2 6 5 3" xfId="3549"/>
    <cellStyle name="표준 2 6 6" xfId="3550"/>
    <cellStyle name="표준 2 6 6 2" xfId="3551"/>
    <cellStyle name="표준 2 6 6 3" xfId="4534"/>
    <cellStyle name="표준 2 6 7" xfId="3552"/>
    <cellStyle name="표준 2 60" xfId="628"/>
    <cellStyle name="표준 2 60 2" xfId="1236"/>
    <cellStyle name="표준 2 60 2 2" xfId="3553"/>
    <cellStyle name="표준 2 60 2 3" xfId="3554"/>
    <cellStyle name="표준 2 60 3" xfId="3555"/>
    <cellStyle name="표준 2 60 4" xfId="3556"/>
    <cellStyle name="표준 2 61" xfId="629"/>
    <cellStyle name="표준 2 61 2" xfId="1237"/>
    <cellStyle name="표준 2 61 2 2" xfId="3557"/>
    <cellStyle name="표준 2 61 2 3" xfId="3558"/>
    <cellStyle name="표준 2 61 3" xfId="3559"/>
    <cellStyle name="표준 2 61 4" xfId="3560"/>
    <cellStyle name="표준 2 62" xfId="630"/>
    <cellStyle name="표준 2 62 2" xfId="1238"/>
    <cellStyle name="표준 2 62 2 2" xfId="3561"/>
    <cellStyle name="표준 2 62 2 3" xfId="3562"/>
    <cellStyle name="표준 2 62 3" xfId="3563"/>
    <cellStyle name="표준 2 62 4" xfId="3564"/>
    <cellStyle name="표준 2 63" xfId="631"/>
    <cellStyle name="표준 2 63 2" xfId="1239"/>
    <cellStyle name="표준 2 63 2 2" xfId="3565"/>
    <cellStyle name="표준 2 63 2 3" xfId="3566"/>
    <cellStyle name="표준 2 63 3" xfId="3567"/>
    <cellStyle name="표준 2 63 4" xfId="3568"/>
    <cellStyle name="표준 2 64" xfId="632"/>
    <cellStyle name="표준 2 64 2" xfId="1240"/>
    <cellStyle name="표준 2 64 2 2" xfId="3569"/>
    <cellStyle name="표준 2 64 2 3" xfId="3570"/>
    <cellStyle name="표준 2 64 3" xfId="3571"/>
    <cellStyle name="표준 2 64 4" xfId="3572"/>
    <cellStyle name="표준 2 65" xfId="633"/>
    <cellStyle name="표준 2 65 2" xfId="1241"/>
    <cellStyle name="표준 2 65 2 2" xfId="3573"/>
    <cellStyle name="표준 2 65 2 3" xfId="3574"/>
    <cellStyle name="표준 2 65 3" xfId="3575"/>
    <cellStyle name="표준 2 65 4" xfId="3576"/>
    <cellStyle name="표준 2 66" xfId="634"/>
    <cellStyle name="표준 2 66 2" xfId="1242"/>
    <cellStyle name="표준 2 66 2 2" xfId="3577"/>
    <cellStyle name="표준 2 66 2 3" xfId="3578"/>
    <cellStyle name="표준 2 66 3" xfId="3579"/>
    <cellStyle name="표준 2 66 4" xfId="3580"/>
    <cellStyle name="표준 2 67" xfId="635"/>
    <cellStyle name="표준 2 67 2" xfId="1243"/>
    <cellStyle name="표준 2 67 2 2" xfId="3581"/>
    <cellStyle name="표준 2 67 2 3" xfId="3582"/>
    <cellStyle name="표준 2 67 3" xfId="3583"/>
    <cellStyle name="표준 2 67 4" xfId="3584"/>
    <cellStyle name="표준 2 68" xfId="636"/>
    <cellStyle name="표준 2 68 2" xfId="1244"/>
    <cellStyle name="표준 2 68 2 2" xfId="3585"/>
    <cellStyle name="표준 2 68 2 3" xfId="3586"/>
    <cellStyle name="표준 2 68 3" xfId="3587"/>
    <cellStyle name="표준 2 68 4" xfId="3588"/>
    <cellStyle name="표준 2 69" xfId="637"/>
    <cellStyle name="표준 2 69 2" xfId="1245"/>
    <cellStyle name="표준 2 69 2 2" xfId="3589"/>
    <cellStyle name="표준 2 69 2 3" xfId="3590"/>
    <cellStyle name="표준 2 69 3" xfId="3591"/>
    <cellStyle name="표준 2 69 4" xfId="3592"/>
    <cellStyle name="표준 2 7" xfId="638"/>
    <cellStyle name="표준 2 7 2" xfId="1246"/>
    <cellStyle name="표준 2 7 2 2" xfId="3593"/>
    <cellStyle name="표준 2 7 2 3" xfId="3594"/>
    <cellStyle name="표준 2 7 3" xfId="1449"/>
    <cellStyle name="표준 2 7 3 2" xfId="3595"/>
    <cellStyle name="표준 2 7 3 3" xfId="3596"/>
    <cellStyle name="표준 2 7 4" xfId="1469"/>
    <cellStyle name="표준 2 7 4 2" xfId="3597"/>
    <cellStyle name="표준 2 7 4 3" xfId="3598"/>
    <cellStyle name="표준 2 7 5" xfId="1426"/>
    <cellStyle name="표준 2 7 5 2" xfId="3599"/>
    <cellStyle name="표준 2 7 5 3" xfId="3600"/>
    <cellStyle name="표준 2 7 6" xfId="3601"/>
    <cellStyle name="표준 2 7 6 2" xfId="3602"/>
    <cellStyle name="표준 2 7 6 3" xfId="4535"/>
    <cellStyle name="표준 2 7 7" xfId="3603"/>
    <cellStyle name="표준 2 70" xfId="639"/>
    <cellStyle name="표준 2 70 2" xfId="1247"/>
    <cellStyle name="표준 2 70 2 2" xfId="3604"/>
    <cellStyle name="표준 2 70 2 3" xfId="3605"/>
    <cellStyle name="표준 2 70 3" xfId="3606"/>
    <cellStyle name="표준 2 70 4" xfId="3607"/>
    <cellStyle name="표준 2 71" xfId="640"/>
    <cellStyle name="표준 2 71 2" xfId="1248"/>
    <cellStyle name="표준 2 71 2 2" xfId="3608"/>
    <cellStyle name="표준 2 71 2 3" xfId="3609"/>
    <cellStyle name="표준 2 71 3" xfId="3610"/>
    <cellStyle name="표준 2 71 4" xfId="3611"/>
    <cellStyle name="표준 2 72" xfId="641"/>
    <cellStyle name="표준 2 72 2" xfId="1249"/>
    <cellStyle name="표준 2 72 2 2" xfId="3612"/>
    <cellStyle name="표준 2 72 2 3" xfId="3613"/>
    <cellStyle name="표준 2 72 3" xfId="3614"/>
    <cellStyle name="표준 2 72 4" xfId="3615"/>
    <cellStyle name="표준 2 73" xfId="642"/>
    <cellStyle name="표준 2 73 2" xfId="1250"/>
    <cellStyle name="표준 2 73 2 2" xfId="3616"/>
    <cellStyle name="표준 2 73 2 3" xfId="3617"/>
    <cellStyle name="표준 2 73 3" xfId="3618"/>
    <cellStyle name="표준 2 73 4" xfId="3619"/>
    <cellStyle name="표준 2 74" xfId="643"/>
    <cellStyle name="표준 2 74 2" xfId="1251"/>
    <cellStyle name="표준 2 74 2 2" xfId="3620"/>
    <cellStyle name="표준 2 74 2 3" xfId="3621"/>
    <cellStyle name="표준 2 74 3" xfId="3622"/>
    <cellStyle name="표준 2 74 4" xfId="3623"/>
    <cellStyle name="표준 2 75" xfId="644"/>
    <cellStyle name="표준 2 75 2" xfId="1252"/>
    <cellStyle name="표준 2 75 2 2" xfId="3624"/>
    <cellStyle name="표준 2 75 2 3" xfId="3625"/>
    <cellStyle name="표준 2 75 3" xfId="3626"/>
    <cellStyle name="표준 2 75 4" xfId="3627"/>
    <cellStyle name="표준 2 76" xfId="645"/>
    <cellStyle name="표준 2 76 2" xfId="1253"/>
    <cellStyle name="표준 2 76 2 2" xfId="3628"/>
    <cellStyle name="표준 2 76 2 3" xfId="3629"/>
    <cellStyle name="표준 2 76 3" xfId="3630"/>
    <cellStyle name="표준 2 76 4" xfId="3631"/>
    <cellStyle name="표준 2 77" xfId="646"/>
    <cellStyle name="표준 2 77 2" xfId="1254"/>
    <cellStyle name="표준 2 77 2 2" xfId="3632"/>
    <cellStyle name="표준 2 77 2 3" xfId="3633"/>
    <cellStyle name="표준 2 77 3" xfId="3634"/>
    <cellStyle name="표준 2 77 4" xfId="3635"/>
    <cellStyle name="표준 2 78" xfId="647"/>
    <cellStyle name="표준 2 78 2" xfId="1255"/>
    <cellStyle name="표준 2 78 2 2" xfId="3636"/>
    <cellStyle name="표준 2 78 2 3" xfId="3637"/>
    <cellStyle name="표준 2 78 3" xfId="3638"/>
    <cellStyle name="표준 2 78 4" xfId="3639"/>
    <cellStyle name="표준 2 79" xfId="648"/>
    <cellStyle name="표준 2 79 2" xfId="1256"/>
    <cellStyle name="표준 2 79 2 2" xfId="3640"/>
    <cellStyle name="표준 2 79 2 3" xfId="3641"/>
    <cellStyle name="표준 2 79 3" xfId="3642"/>
    <cellStyle name="표준 2 79 4" xfId="3643"/>
    <cellStyle name="표준 2 8" xfId="649"/>
    <cellStyle name="표준 2 8 2" xfId="1257"/>
    <cellStyle name="표준 2 8 2 2" xfId="3644"/>
    <cellStyle name="표준 2 8 2 3" xfId="3645"/>
    <cellStyle name="표준 2 8 3" xfId="1450"/>
    <cellStyle name="표준 2 8 3 2" xfId="3646"/>
    <cellStyle name="표준 2 8 3 3" xfId="3647"/>
    <cellStyle name="표준 2 8 4" xfId="1470"/>
    <cellStyle name="표준 2 8 4 2" xfId="3648"/>
    <cellStyle name="표준 2 8 4 3" xfId="3649"/>
    <cellStyle name="표준 2 8 5" xfId="1427"/>
    <cellStyle name="표준 2 8 5 2" xfId="3650"/>
    <cellStyle name="표준 2 8 5 3" xfId="3651"/>
    <cellStyle name="표준 2 8 6" xfId="3652"/>
    <cellStyle name="표준 2 8 6 2" xfId="3653"/>
    <cellStyle name="표준 2 8 6 3" xfId="4536"/>
    <cellStyle name="표준 2 8 7" xfId="3654"/>
    <cellStyle name="표준 2 80" xfId="650"/>
    <cellStyle name="표준 2 80 2" xfId="1258"/>
    <cellStyle name="표준 2 80 2 2" xfId="3655"/>
    <cellStyle name="표준 2 80 2 3" xfId="3656"/>
    <cellStyle name="표준 2 80 3" xfId="3657"/>
    <cellStyle name="표준 2 80 4" xfId="3658"/>
    <cellStyle name="표준 2 81" xfId="651"/>
    <cellStyle name="표준 2 81 2" xfId="1259"/>
    <cellStyle name="표준 2 81 2 2" xfId="3659"/>
    <cellStyle name="표준 2 81 2 3" xfId="3660"/>
    <cellStyle name="표준 2 81 3" xfId="3661"/>
    <cellStyle name="표준 2 81 4" xfId="3662"/>
    <cellStyle name="표준 2 82" xfId="652"/>
    <cellStyle name="표준 2 82 2" xfId="1260"/>
    <cellStyle name="표준 2 82 2 2" xfId="3663"/>
    <cellStyle name="표준 2 82 2 3" xfId="3664"/>
    <cellStyle name="표준 2 82 3" xfId="3665"/>
    <cellStyle name="표준 2 82 4" xfId="3666"/>
    <cellStyle name="표준 2 83" xfId="653"/>
    <cellStyle name="표준 2 83 2" xfId="1261"/>
    <cellStyle name="표준 2 83 2 2" xfId="3667"/>
    <cellStyle name="표준 2 83 2 3" xfId="3668"/>
    <cellStyle name="표준 2 83 3" xfId="3669"/>
    <cellStyle name="표준 2 83 4" xfId="3670"/>
    <cellStyle name="표준 2 84" xfId="654"/>
    <cellStyle name="표준 2 84 2" xfId="1262"/>
    <cellStyle name="표준 2 84 2 2" xfId="3671"/>
    <cellStyle name="표준 2 84 2 3" xfId="3672"/>
    <cellStyle name="표준 2 84 3" xfId="3673"/>
    <cellStyle name="표준 2 84 4" xfId="3674"/>
    <cellStyle name="표준 2 85" xfId="655"/>
    <cellStyle name="표준 2 85 2" xfId="1263"/>
    <cellStyle name="표준 2 85 2 2" xfId="3675"/>
    <cellStyle name="표준 2 85 2 3" xfId="3676"/>
    <cellStyle name="표준 2 85 3" xfId="3677"/>
    <cellStyle name="표준 2 85 4" xfId="3678"/>
    <cellStyle name="표준 2 86" xfId="656"/>
    <cellStyle name="표준 2 86 2" xfId="1264"/>
    <cellStyle name="표준 2 86 2 2" xfId="3679"/>
    <cellStyle name="표준 2 86 2 3" xfId="3680"/>
    <cellStyle name="표준 2 86 3" xfId="3681"/>
    <cellStyle name="표준 2 86 4" xfId="3682"/>
    <cellStyle name="표준 2 87" xfId="657"/>
    <cellStyle name="표준 2 87 2" xfId="658"/>
    <cellStyle name="표준 2 87 2 2" xfId="659"/>
    <cellStyle name="표준 2 87 2 2 2" xfId="3683"/>
    <cellStyle name="표준 2 87 2 2 3" xfId="3684"/>
    <cellStyle name="표준 2 87 2 3" xfId="660"/>
    <cellStyle name="표준 2 87 2 3 2" xfId="3685"/>
    <cellStyle name="표준 2 87 2 3 3" xfId="3686"/>
    <cellStyle name="표준 2 87 2 4" xfId="3687"/>
    <cellStyle name="표준 2 87 2 5" xfId="3688"/>
    <cellStyle name="표준 2 87 3" xfId="3689"/>
    <cellStyle name="표준 2 87 4" xfId="3690"/>
    <cellStyle name="표준 2 88" xfId="661"/>
    <cellStyle name="표준 2 88 2" xfId="1265"/>
    <cellStyle name="표준 2 88 2 2" xfId="3691"/>
    <cellStyle name="표준 2 88 2 3" xfId="3692"/>
    <cellStyle name="표준 2 88 3" xfId="3693"/>
    <cellStyle name="표준 2 88 4" xfId="3694"/>
    <cellStyle name="표준 2 89" xfId="662"/>
    <cellStyle name="표준 2 89 2" xfId="1266"/>
    <cellStyle name="표준 2 89 2 2" xfId="3695"/>
    <cellStyle name="표준 2 89 2 3" xfId="3696"/>
    <cellStyle name="표준 2 89 3" xfId="3697"/>
    <cellStyle name="표준 2 89 4" xfId="3698"/>
    <cellStyle name="표준 2 9" xfId="663"/>
    <cellStyle name="표준 2 9 10" xfId="3699"/>
    <cellStyle name="표준 2 9 10 2" xfId="3700"/>
    <cellStyle name="표준 2 9 10 3" xfId="4537"/>
    <cellStyle name="표준 2 9 11" xfId="3701"/>
    <cellStyle name="표준 2 9 2" xfId="664"/>
    <cellStyle name="표준 2 9 2 2" xfId="3702"/>
    <cellStyle name="표준 2 9 2 3" xfId="3703"/>
    <cellStyle name="표준 2 9 3" xfId="665"/>
    <cellStyle name="표준 2 9 3 2" xfId="3704"/>
    <cellStyle name="표준 2 9 3 3" xfId="3705"/>
    <cellStyle name="표준 2 9 4" xfId="666"/>
    <cellStyle name="표준 2 9 4 2" xfId="3706"/>
    <cellStyle name="표준 2 9 4 3" xfId="3707"/>
    <cellStyle name="표준 2 9 5" xfId="667"/>
    <cellStyle name="표준 2 9 5 2" xfId="3708"/>
    <cellStyle name="표준 2 9 5 3" xfId="3709"/>
    <cellStyle name="표준 2 9 6" xfId="668"/>
    <cellStyle name="표준 2 9 6 2" xfId="3710"/>
    <cellStyle name="표준 2 9 6 3" xfId="3711"/>
    <cellStyle name="표준 2 9 7" xfId="1451"/>
    <cellStyle name="표준 2 9 7 2" xfId="3712"/>
    <cellStyle name="표준 2 9 7 3" xfId="3713"/>
    <cellStyle name="표준 2 9 8" xfId="1471"/>
    <cellStyle name="표준 2 9 8 2" xfId="3714"/>
    <cellStyle name="표준 2 9 8 3" xfId="3715"/>
    <cellStyle name="표준 2 9 9" xfId="1428"/>
    <cellStyle name="표준 2 9 9 2" xfId="3716"/>
    <cellStyle name="표준 2 9 9 3" xfId="3717"/>
    <cellStyle name="표준 2 90" xfId="669"/>
    <cellStyle name="표준 2 90 2" xfId="1267"/>
    <cellStyle name="표준 2 90 2 2" xfId="3718"/>
    <cellStyle name="표준 2 90 2 3" xfId="3719"/>
    <cellStyle name="표준 2 90 3" xfId="3720"/>
    <cellStyle name="표준 2 90 4" xfId="3721"/>
    <cellStyle name="표준 2 91" xfId="670"/>
    <cellStyle name="표준 2 91 2" xfId="1268"/>
    <cellStyle name="표준 2 91 2 2" xfId="3722"/>
    <cellStyle name="표준 2 91 2 3" xfId="3723"/>
    <cellStyle name="표준 2 91 3" xfId="3724"/>
    <cellStyle name="표준 2 91 4" xfId="3725"/>
    <cellStyle name="표준 2 92" xfId="671"/>
    <cellStyle name="표준 2 92 2" xfId="1269"/>
    <cellStyle name="표준 2 92 2 2" xfId="3726"/>
    <cellStyle name="표준 2 92 2 3" xfId="3727"/>
    <cellStyle name="표준 2 92 3" xfId="3728"/>
    <cellStyle name="표준 2 92 4" xfId="3729"/>
    <cellStyle name="표준 2 93" xfId="672"/>
    <cellStyle name="표준 2 93 2" xfId="1270"/>
    <cellStyle name="표준 2 93 2 2" xfId="3730"/>
    <cellStyle name="표준 2 93 2 3" xfId="3731"/>
    <cellStyle name="표준 2 93 3" xfId="3732"/>
    <cellStyle name="표준 2 93 4" xfId="3733"/>
    <cellStyle name="표준 2 94" xfId="673"/>
    <cellStyle name="표준 2 94 2" xfId="1271"/>
    <cellStyle name="표준 2 94 2 2" xfId="3734"/>
    <cellStyle name="표준 2 94 2 3" xfId="3735"/>
    <cellStyle name="표준 2 94 3" xfId="3736"/>
    <cellStyle name="표준 2 94 4" xfId="3737"/>
    <cellStyle name="표준 2 95" xfId="674"/>
    <cellStyle name="표준 2 95 2" xfId="1272"/>
    <cellStyle name="표준 2 95 2 2" xfId="3738"/>
    <cellStyle name="표준 2 95 2 3" xfId="3739"/>
    <cellStyle name="표준 2 95 3" xfId="3740"/>
    <cellStyle name="표준 2 95 4" xfId="3741"/>
    <cellStyle name="표준 2 96" xfId="675"/>
    <cellStyle name="표준 2 96 2" xfId="1273"/>
    <cellStyle name="표준 2 96 2 2" xfId="3742"/>
    <cellStyle name="표준 2 96 2 3" xfId="3743"/>
    <cellStyle name="표준 2 96 3" xfId="3744"/>
    <cellStyle name="표준 2 96 4" xfId="3745"/>
    <cellStyle name="표준 2 97" xfId="676"/>
    <cellStyle name="표준 2 97 2" xfId="1274"/>
    <cellStyle name="표준 2 97 2 2" xfId="3746"/>
    <cellStyle name="표준 2 97 2 3" xfId="3747"/>
    <cellStyle name="표준 2 97 3" xfId="3748"/>
    <cellStyle name="표준 2 97 4" xfId="3749"/>
    <cellStyle name="표준 2 98" xfId="677"/>
    <cellStyle name="표준 2 98 2" xfId="1275"/>
    <cellStyle name="표준 2 98 2 2" xfId="3750"/>
    <cellStyle name="표준 2 98 2 3" xfId="3751"/>
    <cellStyle name="표준 2 98 3" xfId="3752"/>
    <cellStyle name="표준 2 98 4" xfId="3753"/>
    <cellStyle name="표준 2 99" xfId="678"/>
    <cellStyle name="표준 2 99 2" xfId="1276"/>
    <cellStyle name="표준 2 99 2 2" xfId="3754"/>
    <cellStyle name="표준 2 99 2 3" xfId="3755"/>
    <cellStyle name="표준 2 99 3" xfId="3756"/>
    <cellStyle name="표준 2 99 4" xfId="3757"/>
    <cellStyle name="표준 20" xfId="679"/>
    <cellStyle name="표준 20 2" xfId="3758"/>
    <cellStyle name="표준 20 3" xfId="3759"/>
    <cellStyle name="표준 200" xfId="1277"/>
    <cellStyle name="표준 200 2" xfId="3760"/>
    <cellStyle name="표준 200 3" xfId="3761"/>
    <cellStyle name="표준 201" xfId="1278"/>
    <cellStyle name="표준 201 2" xfId="3762"/>
    <cellStyle name="표준 201 3" xfId="3763"/>
    <cellStyle name="표준 202" xfId="1279"/>
    <cellStyle name="표준 202 2" xfId="3764"/>
    <cellStyle name="표준 202 3" xfId="3765"/>
    <cellStyle name="표준 203" xfId="1280"/>
    <cellStyle name="표준 203 2" xfId="3766"/>
    <cellStyle name="표준 203 3" xfId="3767"/>
    <cellStyle name="표준 204" xfId="1281"/>
    <cellStyle name="표준 204 2" xfId="3768"/>
    <cellStyle name="표준 204 3" xfId="3769"/>
    <cellStyle name="표준 205" xfId="1282"/>
    <cellStyle name="표준 205 2" xfId="3770"/>
    <cellStyle name="표준 205 3" xfId="3771"/>
    <cellStyle name="표준 206" xfId="1283"/>
    <cellStyle name="표준 206 2" xfId="3772"/>
    <cellStyle name="표준 206 3" xfId="3773"/>
    <cellStyle name="표준 207" xfId="1284"/>
    <cellStyle name="표준 207 2" xfId="3774"/>
    <cellStyle name="표준 207 3" xfId="3775"/>
    <cellStyle name="표준 208" xfId="1285"/>
    <cellStyle name="표준 208 2" xfId="3776"/>
    <cellStyle name="표준 208 3" xfId="3777"/>
    <cellStyle name="표준 209" xfId="1286"/>
    <cellStyle name="표준 209 2" xfId="3778"/>
    <cellStyle name="표준 209 3" xfId="3779"/>
    <cellStyle name="표준 21" xfId="680"/>
    <cellStyle name="표준 21 2" xfId="3780"/>
    <cellStyle name="표준 21 3" xfId="3781"/>
    <cellStyle name="표준 210" xfId="1287"/>
    <cellStyle name="표준 210 2" xfId="3782"/>
    <cellStyle name="표준 210 3" xfId="3783"/>
    <cellStyle name="표준 211" xfId="1288"/>
    <cellStyle name="표준 211 2" xfId="3784"/>
    <cellStyle name="표준 211 3" xfId="3785"/>
    <cellStyle name="표준 212" xfId="1289"/>
    <cellStyle name="표준 212 2" xfId="3786"/>
    <cellStyle name="표준 212 3" xfId="3787"/>
    <cellStyle name="표준 213" xfId="1290"/>
    <cellStyle name="표준 213 2" xfId="3788"/>
    <cellStyle name="표준 213 3" xfId="3789"/>
    <cellStyle name="표준 214" xfId="1291"/>
    <cellStyle name="표준 214 2" xfId="3790"/>
    <cellStyle name="표준 214 3" xfId="3791"/>
    <cellStyle name="표준 215" xfId="1292"/>
    <cellStyle name="표준 215 2" xfId="3792"/>
    <cellStyle name="표준 215 3" xfId="3793"/>
    <cellStyle name="표준 216" xfId="1478"/>
    <cellStyle name="표준 216 2" xfId="1483"/>
    <cellStyle name="표준 216 2 2" xfId="4503"/>
    <cellStyle name="표준 216 2 3" xfId="4513"/>
    <cellStyle name="표준 216 2 4" xfId="4494"/>
    <cellStyle name="표준 216 3" xfId="1485"/>
    <cellStyle name="표준 216 3 2" xfId="1494"/>
    <cellStyle name="표준 216 3 2 2" xfId="1496"/>
    <cellStyle name="표준 216 3 2 2 2" xfId="4489"/>
    <cellStyle name="표준 216 3 2 2 3" xfId="4488"/>
    <cellStyle name="표준 216 3 2 3" xfId="1503"/>
    <cellStyle name="표준 216 3 2 3 2" xfId="1510"/>
    <cellStyle name="표준 216 3 2 3 3" xfId="4487"/>
    <cellStyle name="표준 216 3 2 4" xfId="1506"/>
    <cellStyle name="표준 216 3 3" xfId="1492"/>
    <cellStyle name="표준 216 3 4" xfId="1500"/>
    <cellStyle name="표준 216 3 4 2" xfId="1509"/>
    <cellStyle name="표준 216 3 5" xfId="1490"/>
    <cellStyle name="표준 216 3 5 2" xfId="1504"/>
    <cellStyle name="표준 216 3 5 3" xfId="4520"/>
    <cellStyle name="표준 216 3 5 4" xfId="4504"/>
    <cellStyle name="표준 216 3 6" xfId="4517"/>
    <cellStyle name="표준 216 3 7" xfId="4498"/>
    <cellStyle name="표준 216 4" xfId="1480"/>
    <cellStyle name="표준 217" xfId="1293"/>
    <cellStyle name="표준 217 2" xfId="3794"/>
    <cellStyle name="표준 217 3" xfId="3795"/>
    <cellStyle name="표준 218" xfId="1294"/>
    <cellStyle name="표준 218 2" xfId="3796"/>
    <cellStyle name="표준 218 3" xfId="3797"/>
    <cellStyle name="표준 219" xfId="1295"/>
    <cellStyle name="표준 219 2" xfId="3798"/>
    <cellStyle name="표준 219 3" xfId="3799"/>
    <cellStyle name="표준 22" xfId="681"/>
    <cellStyle name="표준 22 2" xfId="3800"/>
    <cellStyle name="표준 22 3" xfId="3801"/>
    <cellStyle name="표준 220" xfId="1296"/>
    <cellStyle name="표준 220 2" xfId="3802"/>
    <cellStyle name="표준 220 3" xfId="3803"/>
    <cellStyle name="표준 221" xfId="1297"/>
    <cellStyle name="표준 221 2" xfId="3804"/>
    <cellStyle name="표준 221 3" xfId="3805"/>
    <cellStyle name="표준 222" xfId="1298"/>
    <cellStyle name="표준 222 2" xfId="3806"/>
    <cellStyle name="표준 222 3" xfId="3807"/>
    <cellStyle name="표준 223" xfId="1299"/>
    <cellStyle name="표준 223 2" xfId="3808"/>
    <cellStyle name="표준 223 3" xfId="3809"/>
    <cellStyle name="표준 224" xfId="1300"/>
    <cellStyle name="표준 224 2" xfId="3810"/>
    <cellStyle name="표준 224 3" xfId="3811"/>
    <cellStyle name="표준 225" xfId="1301"/>
    <cellStyle name="표준 225 2" xfId="3812"/>
    <cellStyle name="표준 225 3" xfId="3813"/>
    <cellStyle name="표준 226" xfId="1302"/>
    <cellStyle name="표준 226 2" xfId="3814"/>
    <cellStyle name="표준 226 3" xfId="3815"/>
    <cellStyle name="표준 227" xfId="1489"/>
    <cellStyle name="표준 227 2" xfId="1495"/>
    <cellStyle name="표준 227 2 2" xfId="1507"/>
    <cellStyle name="표준 227 3" xfId="1493"/>
    <cellStyle name="표준 227 4" xfId="1499"/>
    <cellStyle name="표준 227 4 2" xfId="1508"/>
    <cellStyle name="표준 227 5" xfId="1491"/>
    <cellStyle name="표준 227 5 2" xfId="1505"/>
    <cellStyle name="표준 227 5 3" xfId="4521"/>
    <cellStyle name="표준 227 5 4" xfId="4508"/>
    <cellStyle name="표준 227 6" xfId="4512"/>
    <cellStyle name="표준 227 7" xfId="4493"/>
    <cellStyle name="표준 228" xfId="1303"/>
    <cellStyle name="표준 228 2" xfId="3816"/>
    <cellStyle name="표준 228 3" xfId="3817"/>
    <cellStyle name="표준 229" xfId="1304"/>
    <cellStyle name="표준 229 2" xfId="3818"/>
    <cellStyle name="표준 229 3" xfId="3819"/>
    <cellStyle name="표준 23" xfId="682"/>
    <cellStyle name="표준 23 2" xfId="3820"/>
    <cellStyle name="표준 23 3" xfId="3821"/>
    <cellStyle name="표준 230" xfId="1305"/>
    <cellStyle name="표준 230 2" xfId="3822"/>
    <cellStyle name="표준 230 3" xfId="3823"/>
    <cellStyle name="표준 231" xfId="1306"/>
    <cellStyle name="표준 231 2" xfId="3824"/>
    <cellStyle name="표준 231 3" xfId="3825"/>
    <cellStyle name="표준 232" xfId="1307"/>
    <cellStyle name="표준 232 2" xfId="3826"/>
    <cellStyle name="표준 232 3" xfId="3827"/>
    <cellStyle name="표준 233" xfId="1486"/>
    <cellStyle name="표준 233 2" xfId="4505"/>
    <cellStyle name="표준 233 3" xfId="4511"/>
    <cellStyle name="표준 233 4" xfId="4492"/>
    <cellStyle name="표준 234" xfId="1308"/>
    <cellStyle name="표준 234 2" xfId="3828"/>
    <cellStyle name="표준 234 3" xfId="3829"/>
    <cellStyle name="표준 235" xfId="1309"/>
    <cellStyle name="표준 235 2" xfId="3830"/>
    <cellStyle name="표준 235 3" xfId="3831"/>
    <cellStyle name="표준 236" xfId="1310"/>
    <cellStyle name="표준 236 2" xfId="3832"/>
    <cellStyle name="표준 236 3" xfId="3833"/>
    <cellStyle name="표준 237" xfId="1311"/>
    <cellStyle name="표준 237 2" xfId="3834"/>
    <cellStyle name="표준 237 3" xfId="3835"/>
    <cellStyle name="표준 238" xfId="1312"/>
    <cellStyle name="표준 238 2" xfId="3836"/>
    <cellStyle name="표준 238 3" xfId="3837"/>
    <cellStyle name="표준 239" xfId="1313"/>
    <cellStyle name="표준 239 2" xfId="3838"/>
    <cellStyle name="표준 239 3" xfId="3839"/>
    <cellStyle name="표준 24" xfId="683"/>
    <cellStyle name="표준 24 2" xfId="3840"/>
    <cellStyle name="표준 24 3" xfId="3841"/>
    <cellStyle name="표준 240" xfId="1314"/>
    <cellStyle name="표준 240 2" xfId="3842"/>
    <cellStyle name="표준 240 3" xfId="3843"/>
    <cellStyle name="표준 241" xfId="1315"/>
    <cellStyle name="표준 241 2" xfId="3844"/>
    <cellStyle name="표준 241 3" xfId="3845"/>
    <cellStyle name="표준 242" xfId="1316"/>
    <cellStyle name="표준 242 2" xfId="3846"/>
    <cellStyle name="표준 242 3" xfId="3847"/>
    <cellStyle name="표준 243" xfId="1317"/>
    <cellStyle name="표준 243 2" xfId="3848"/>
    <cellStyle name="표준 243 3" xfId="3849"/>
    <cellStyle name="표준 244" xfId="1318"/>
    <cellStyle name="표준 244 2" xfId="3850"/>
    <cellStyle name="표준 244 3" xfId="3851"/>
    <cellStyle name="표준 245" xfId="1319"/>
    <cellStyle name="표준 245 2" xfId="3852"/>
    <cellStyle name="표준 245 3" xfId="3853"/>
    <cellStyle name="표준 246" xfId="1320"/>
    <cellStyle name="표준 246 2" xfId="3854"/>
    <cellStyle name="표준 246 3" xfId="3855"/>
    <cellStyle name="표준 247" xfId="1501"/>
    <cellStyle name="표준 247 2" xfId="4490"/>
    <cellStyle name="표준 247 3" xfId="3856"/>
    <cellStyle name="표준 247 4" xfId="4522"/>
    <cellStyle name="표준 248" xfId="1321"/>
    <cellStyle name="표준 248 2" xfId="3857"/>
    <cellStyle name="표준 248 3" xfId="3858"/>
    <cellStyle name="표준 249" xfId="1322"/>
    <cellStyle name="표준 249 2" xfId="3859"/>
    <cellStyle name="표준 249 3" xfId="3860"/>
    <cellStyle name="표준 25" xfId="684"/>
    <cellStyle name="표준 25 2" xfId="3861"/>
    <cellStyle name="표준 25 3" xfId="3862"/>
    <cellStyle name="표준 250" xfId="1323"/>
    <cellStyle name="표준 250 2" xfId="3863"/>
    <cellStyle name="표준 250 3" xfId="3864"/>
    <cellStyle name="표준 251" xfId="1324"/>
    <cellStyle name="표준 251 2" xfId="3865"/>
    <cellStyle name="표준 251 3" xfId="3866"/>
    <cellStyle name="표준 252" xfId="1325"/>
    <cellStyle name="표준 252 2" xfId="3867"/>
    <cellStyle name="표준 252 3" xfId="3868"/>
    <cellStyle name="표준 253" xfId="1326"/>
    <cellStyle name="표준 253 2" xfId="3869"/>
    <cellStyle name="표준 253 3" xfId="3870"/>
    <cellStyle name="표준 254" xfId="1327"/>
    <cellStyle name="표준 254 2" xfId="3871"/>
    <cellStyle name="표준 254 3" xfId="3872"/>
    <cellStyle name="표준 255" xfId="1328"/>
    <cellStyle name="표준 255 2" xfId="3873"/>
    <cellStyle name="표준 255 3" xfId="3874"/>
    <cellStyle name="표준 256" xfId="3875"/>
    <cellStyle name="표준 257" xfId="3876"/>
    <cellStyle name="표준 258" xfId="3877"/>
    <cellStyle name="표준 259" xfId="3878"/>
    <cellStyle name="표준 26" xfId="685"/>
    <cellStyle name="표준 26 2" xfId="3879"/>
    <cellStyle name="표준 26 3" xfId="3880"/>
    <cellStyle name="표준 260" xfId="3881"/>
    <cellStyle name="표준 261" xfId="3882"/>
    <cellStyle name="표준 262" xfId="3883"/>
    <cellStyle name="표준 263" xfId="3884"/>
    <cellStyle name="표준 264" xfId="3885"/>
    <cellStyle name="표준 265" xfId="3886"/>
    <cellStyle name="표준 266" xfId="3887"/>
    <cellStyle name="표준 27" xfId="686"/>
    <cellStyle name="표준 27 2" xfId="3888"/>
    <cellStyle name="표준 27 3" xfId="3889"/>
    <cellStyle name="표준 28" xfId="687"/>
    <cellStyle name="표준 28 2" xfId="3890"/>
    <cellStyle name="표준 28 3" xfId="3891"/>
    <cellStyle name="표준 29" xfId="688"/>
    <cellStyle name="표준 29 2" xfId="3892"/>
    <cellStyle name="표준 29 3" xfId="3893"/>
    <cellStyle name="표준 3" xfId="689"/>
    <cellStyle name="표준 3 10" xfId="690"/>
    <cellStyle name="표준 3 10 2" xfId="3894"/>
    <cellStyle name="표준 3 10 3" xfId="3895"/>
    <cellStyle name="표준 3 11" xfId="691"/>
    <cellStyle name="표준 3 11 2" xfId="3896"/>
    <cellStyle name="표준 3 11 3" xfId="3897"/>
    <cellStyle name="표준 3 12" xfId="692"/>
    <cellStyle name="표준 3 12 2" xfId="3898"/>
    <cellStyle name="표준 3 12 3" xfId="3899"/>
    <cellStyle name="표준 3 13" xfId="1329"/>
    <cellStyle name="표준 3 13 2" xfId="3900"/>
    <cellStyle name="표준 3 13 3" xfId="3901"/>
    <cellStyle name="표준 3 14" xfId="3902"/>
    <cellStyle name="표준 3 15" xfId="3903"/>
    <cellStyle name="표준 3 2" xfId="693"/>
    <cellStyle name="표준 3 2 2" xfId="694"/>
    <cellStyle name="표준 3 2 2 2" xfId="1330"/>
    <cellStyle name="표준 3 2 2 2 2" xfId="3904"/>
    <cellStyle name="표준 3 2 2 2 3" xfId="3905"/>
    <cellStyle name="표준 3 2 2 3" xfId="3906"/>
    <cellStyle name="표준 3 2 2 4" xfId="3907"/>
    <cellStyle name="표준 3 2 3" xfId="695"/>
    <cellStyle name="표준 3 2 3 2" xfId="3908"/>
    <cellStyle name="표준 3 2 3 3" xfId="3909"/>
    <cellStyle name="표준 3 2 4" xfId="696"/>
    <cellStyle name="표준 3 2 4 2" xfId="3910"/>
    <cellStyle name="표준 3 2 4 3" xfId="3911"/>
    <cellStyle name="표준 3 2 5" xfId="697"/>
    <cellStyle name="표준 3 2 5 2" xfId="3912"/>
    <cellStyle name="표준 3 2 5 3" xfId="3913"/>
    <cellStyle name="표준 3 2 6" xfId="698"/>
    <cellStyle name="표준 3 2 6 2" xfId="3914"/>
    <cellStyle name="표준 3 2 6 3" xfId="3915"/>
    <cellStyle name="표준 3 2 7" xfId="1331"/>
    <cellStyle name="표준 3 2 7 2" xfId="3916"/>
    <cellStyle name="표준 3 2 7 3" xfId="3917"/>
    <cellStyle name="표준 3 2 8" xfId="3918"/>
    <cellStyle name="표준 3 2 9" xfId="3919"/>
    <cellStyle name="표준 3 3" xfId="699"/>
    <cellStyle name="표준 3 3 2" xfId="1332"/>
    <cellStyle name="표준 3 3 2 2" xfId="3920"/>
    <cellStyle name="표준 3 3 2 3" xfId="3921"/>
    <cellStyle name="표준 3 3 3" xfId="3922"/>
    <cellStyle name="표준 3 3 4" xfId="3923"/>
    <cellStyle name="표준 3 4" xfId="700"/>
    <cellStyle name="표준 3 4 2" xfId="3924"/>
    <cellStyle name="표준 3 4 3" xfId="3925"/>
    <cellStyle name="표준 3 5" xfId="701"/>
    <cellStyle name="표준 3 5 2" xfId="3926"/>
    <cellStyle name="표준 3 5 3" xfId="3927"/>
    <cellStyle name="표준 3 6" xfId="702"/>
    <cellStyle name="표준 3 6 2" xfId="3928"/>
    <cellStyle name="표준 3 6 3" xfId="3929"/>
    <cellStyle name="표준 3 7" xfId="703"/>
    <cellStyle name="표준 3 7 2" xfId="3930"/>
    <cellStyle name="표준 3 7 3" xfId="3931"/>
    <cellStyle name="표준 3 8" xfId="704"/>
    <cellStyle name="표준 3 8 2" xfId="3932"/>
    <cellStyle name="표준 3 8 3" xfId="3933"/>
    <cellStyle name="표준 3 9" xfId="705"/>
    <cellStyle name="표준 3 9 2" xfId="3934"/>
    <cellStyle name="표준 3 9 3" xfId="3935"/>
    <cellStyle name="표준 30" xfId="706"/>
    <cellStyle name="표준 30 2" xfId="3936"/>
    <cellStyle name="표준 30 23" xfId="1362"/>
    <cellStyle name="표준 30 23 2" xfId="3937"/>
    <cellStyle name="표준 30 23 3" xfId="3938"/>
    <cellStyle name="표준 30 3" xfId="3939"/>
    <cellStyle name="표준 31" xfId="707"/>
    <cellStyle name="표준 31 2" xfId="3940"/>
    <cellStyle name="표준 31 3" xfId="3941"/>
    <cellStyle name="표준 32" xfId="708"/>
    <cellStyle name="표준 32 2" xfId="1452"/>
    <cellStyle name="표준 32 2 2" xfId="3942"/>
    <cellStyle name="표준 32 2 3" xfId="3943"/>
    <cellStyle name="표준 32 3" xfId="1472"/>
    <cellStyle name="표준 32 3 2" xfId="3944"/>
    <cellStyle name="표준 32 3 3" xfId="3945"/>
    <cellStyle name="표준 32 4" xfId="1429"/>
    <cellStyle name="표준 32 4 2" xfId="3946"/>
    <cellStyle name="표준 32 4 3" xfId="3947"/>
    <cellStyle name="표준 32 5" xfId="3948"/>
    <cellStyle name="표준 32 5 2" xfId="3949"/>
    <cellStyle name="표준 32 5 3" xfId="4538"/>
    <cellStyle name="표준 32 6" xfId="3950"/>
    <cellStyle name="표준 33" xfId="709"/>
    <cellStyle name="표준 33 2" xfId="1453"/>
    <cellStyle name="표준 33 2 2" xfId="3951"/>
    <cellStyle name="표준 33 2 3" xfId="3952"/>
    <cellStyle name="표준 33 3" xfId="1473"/>
    <cellStyle name="표준 33 3 2" xfId="3953"/>
    <cellStyle name="표준 33 3 3" xfId="3954"/>
    <cellStyle name="표준 33 4" xfId="1430"/>
    <cellStyle name="표준 33 4 2" xfId="3955"/>
    <cellStyle name="표준 33 4 3" xfId="3956"/>
    <cellStyle name="표준 33 5" xfId="3957"/>
    <cellStyle name="표준 33 5 2" xfId="3958"/>
    <cellStyle name="표준 33 5 3" xfId="4539"/>
    <cellStyle name="표준 33 6" xfId="3959"/>
    <cellStyle name="표준 34" xfId="710"/>
    <cellStyle name="표준 34 2" xfId="1454"/>
    <cellStyle name="표준 34 2 2" xfId="3960"/>
    <cellStyle name="표준 34 2 3" xfId="3961"/>
    <cellStyle name="표준 34 3" xfId="1474"/>
    <cellStyle name="표준 34 3 2" xfId="3962"/>
    <cellStyle name="표준 34 3 3" xfId="3963"/>
    <cellStyle name="표준 34 4" xfId="1431"/>
    <cellStyle name="표준 34 4 2" xfId="3964"/>
    <cellStyle name="표준 34 4 3" xfId="3965"/>
    <cellStyle name="표준 34 5" xfId="3966"/>
    <cellStyle name="표준 34 5 2" xfId="3967"/>
    <cellStyle name="표준 34 5 3" xfId="4540"/>
    <cellStyle name="표준 34 6" xfId="3968"/>
    <cellStyle name="표준 35" xfId="711"/>
    <cellStyle name="표준 35 2" xfId="1455"/>
    <cellStyle name="표준 35 2 2" xfId="3969"/>
    <cellStyle name="표준 35 2 3" xfId="3970"/>
    <cellStyle name="표준 35 3" xfId="1475"/>
    <cellStyle name="표준 35 3 2" xfId="3971"/>
    <cellStyle name="표준 35 3 3" xfId="3972"/>
    <cellStyle name="표준 35 4" xfId="1432"/>
    <cellStyle name="표준 35 4 2" xfId="3973"/>
    <cellStyle name="표준 35 4 3" xfId="3974"/>
    <cellStyle name="표준 35 5" xfId="3975"/>
    <cellStyle name="표준 35 5 2" xfId="3976"/>
    <cellStyle name="표준 35 5 3" xfId="4541"/>
    <cellStyle name="표준 35 6" xfId="3977"/>
    <cellStyle name="표준 36" xfId="712"/>
    <cellStyle name="표준 36 2" xfId="1456"/>
    <cellStyle name="표준 36 2 2" xfId="3978"/>
    <cellStyle name="표준 36 2 3" xfId="3979"/>
    <cellStyle name="표준 36 3" xfId="1476"/>
    <cellStyle name="표준 36 3 2" xfId="3980"/>
    <cellStyle name="표준 36 3 3" xfId="3981"/>
    <cellStyle name="표준 36 4" xfId="1433"/>
    <cellStyle name="표준 36 4 2" xfId="3982"/>
    <cellStyle name="표준 36 4 3" xfId="3983"/>
    <cellStyle name="표준 36 5" xfId="3984"/>
    <cellStyle name="표준 36 5 2" xfId="3985"/>
    <cellStyle name="표준 36 5 3" xfId="4542"/>
    <cellStyle name="표준 36 6" xfId="3986"/>
    <cellStyle name="표준 37" xfId="713"/>
    <cellStyle name="표준 37 2" xfId="3987"/>
    <cellStyle name="표준 37 3" xfId="3988"/>
    <cellStyle name="표준 38" xfId="714"/>
    <cellStyle name="표준 38 2" xfId="3989"/>
    <cellStyle name="표준 38 3" xfId="3990"/>
    <cellStyle name="표준 39" xfId="715"/>
    <cellStyle name="표준 39 2" xfId="3991"/>
    <cellStyle name="표준 39 3" xfId="3992"/>
    <cellStyle name="표준 4" xfId="716"/>
    <cellStyle name="표준 4 2" xfId="1333"/>
    <cellStyle name="표준 4 2 2" xfId="3993"/>
    <cellStyle name="표준 4 2 3" xfId="3994"/>
    <cellStyle name="표준 4 3" xfId="1334"/>
    <cellStyle name="표준 4 3 2" xfId="3995"/>
    <cellStyle name="표준 4 3 3" xfId="3996"/>
    <cellStyle name="표준 4 4" xfId="3997"/>
    <cellStyle name="표준 4 5" xfId="3998"/>
    <cellStyle name="표준 40" xfId="717"/>
    <cellStyle name="표준 40 2" xfId="3999"/>
    <cellStyle name="표준 40 3" xfId="4000"/>
    <cellStyle name="표준 41" xfId="718"/>
    <cellStyle name="표준 41 2" xfId="4001"/>
    <cellStyle name="표준 41 3" xfId="4002"/>
    <cellStyle name="표준 42" xfId="719"/>
    <cellStyle name="표준 42 2" xfId="4003"/>
    <cellStyle name="표준 42 3" xfId="4004"/>
    <cellStyle name="표준 43" xfId="720"/>
    <cellStyle name="표준 43 2" xfId="4005"/>
    <cellStyle name="표준 43 3" xfId="4006"/>
    <cellStyle name="표준 44" xfId="721"/>
    <cellStyle name="표준 44 2" xfId="4007"/>
    <cellStyle name="표준 44 3" xfId="4008"/>
    <cellStyle name="표준 45" xfId="722"/>
    <cellStyle name="표준 45 2" xfId="4009"/>
    <cellStyle name="표준 45 3" xfId="4010"/>
    <cellStyle name="표준 46" xfId="723"/>
    <cellStyle name="표준 46 2" xfId="4011"/>
    <cellStyle name="표준 46 3" xfId="4012"/>
    <cellStyle name="표준 47" xfId="724"/>
    <cellStyle name="표준 47 2" xfId="4013"/>
    <cellStyle name="표준 47 3" xfId="4014"/>
    <cellStyle name="표준 48" xfId="725"/>
    <cellStyle name="표준 48 2" xfId="4015"/>
    <cellStyle name="표준 48 3" xfId="4016"/>
    <cellStyle name="표준 49" xfId="726"/>
    <cellStyle name="표준 49 2" xfId="4017"/>
    <cellStyle name="표준 49 3" xfId="4018"/>
    <cellStyle name="표준 5" xfId="727"/>
    <cellStyle name="표준 5 2" xfId="1335"/>
    <cellStyle name="표준 5 2 2" xfId="4019"/>
    <cellStyle name="표준 5 2 3" xfId="4020"/>
    <cellStyle name="표준 5 3" xfId="1336"/>
    <cellStyle name="표준 5 3 2" xfId="4021"/>
    <cellStyle name="표준 5 3 3" xfId="4022"/>
    <cellStyle name="표준 5 4" xfId="4023"/>
    <cellStyle name="표준 5 5" xfId="4024"/>
    <cellStyle name="표준 50" xfId="728"/>
    <cellStyle name="표준 50 2" xfId="4025"/>
    <cellStyle name="표준 50 3" xfId="4026"/>
    <cellStyle name="표준 51" xfId="729"/>
    <cellStyle name="표준 51 2" xfId="4027"/>
    <cellStyle name="표준 51 3" xfId="4028"/>
    <cellStyle name="표준 52" xfId="730"/>
    <cellStyle name="표준 52 2" xfId="4029"/>
    <cellStyle name="표준 52 3" xfId="4030"/>
    <cellStyle name="표준 53" xfId="731"/>
    <cellStyle name="표준 53 2" xfId="4031"/>
    <cellStyle name="표준 53 3" xfId="4032"/>
    <cellStyle name="표준 54" xfId="732"/>
    <cellStyle name="표준 54 2" xfId="4033"/>
    <cellStyle name="표준 54 3" xfId="4034"/>
    <cellStyle name="표준 55" xfId="733"/>
    <cellStyle name="표준 55 2" xfId="4035"/>
    <cellStyle name="표준 55 3" xfId="4036"/>
    <cellStyle name="표준 56" xfId="734"/>
    <cellStyle name="표준 56 2" xfId="4037"/>
    <cellStyle name="표준 56 3" xfId="4038"/>
    <cellStyle name="표준 57" xfId="735"/>
    <cellStyle name="표준 57 2" xfId="4039"/>
    <cellStyle name="표준 57 3" xfId="4040"/>
    <cellStyle name="표준 58" xfId="736"/>
    <cellStyle name="표준 58 2" xfId="4041"/>
    <cellStyle name="표준 58 3" xfId="4042"/>
    <cellStyle name="표준 59" xfId="737"/>
    <cellStyle name="표준 59 2" xfId="4043"/>
    <cellStyle name="표준 59 3" xfId="4044"/>
    <cellStyle name="표준 6" xfId="738"/>
    <cellStyle name="표준 6 2" xfId="4045"/>
    <cellStyle name="표준 6 3" xfId="4046"/>
    <cellStyle name="표준 60" xfId="739"/>
    <cellStyle name="표준 60 2" xfId="4047"/>
    <cellStyle name="표준 60 3" xfId="4048"/>
    <cellStyle name="표준 61" xfId="740"/>
    <cellStyle name="표준 61 2" xfId="4049"/>
    <cellStyle name="표준 61 3" xfId="4050"/>
    <cellStyle name="표준 62" xfId="741"/>
    <cellStyle name="표준 62 2" xfId="4051"/>
    <cellStyle name="표준 62 3" xfId="4052"/>
    <cellStyle name="표준 63" xfId="742"/>
    <cellStyle name="표준 63 2" xfId="4053"/>
    <cellStyle name="표준 63 3" xfId="4054"/>
    <cellStyle name="표준 64" xfId="743"/>
    <cellStyle name="표준 64 2" xfId="4055"/>
    <cellStyle name="표준 64 3" xfId="4056"/>
    <cellStyle name="표준 65" xfId="744"/>
    <cellStyle name="표준 65 2" xfId="4057"/>
    <cellStyle name="표준 65 3" xfId="4058"/>
    <cellStyle name="표준 66" xfId="745"/>
    <cellStyle name="표준 66 2" xfId="4059"/>
    <cellStyle name="표준 66 3" xfId="4060"/>
    <cellStyle name="표준 67" xfId="746"/>
    <cellStyle name="표준 67 2" xfId="4061"/>
    <cellStyle name="표준 67 3" xfId="4062"/>
    <cellStyle name="표준 68" xfId="747"/>
    <cellStyle name="표준 68 2" xfId="4063"/>
    <cellStyle name="표준 68 3" xfId="4064"/>
    <cellStyle name="표준 69" xfId="748"/>
    <cellStyle name="표준 69 2" xfId="4065"/>
    <cellStyle name="표준 69 3" xfId="4066"/>
    <cellStyle name="표준 7" xfId="749"/>
    <cellStyle name="표준 7 2" xfId="4067"/>
    <cellStyle name="표준 7 24" xfId="1361"/>
    <cellStyle name="표준 7 24 2" xfId="4068"/>
    <cellStyle name="표준 7 24 3" xfId="4069"/>
    <cellStyle name="표준 7 3" xfId="4070"/>
    <cellStyle name="표준 70" xfId="750"/>
    <cellStyle name="표준 70 2" xfId="4071"/>
    <cellStyle name="표준 70 3" xfId="4072"/>
    <cellStyle name="표준 71" xfId="751"/>
    <cellStyle name="표준 71 10" xfId="4073"/>
    <cellStyle name="표준 71 11" xfId="4074"/>
    <cellStyle name="표준 71 2" xfId="752"/>
    <cellStyle name="표준 71 2 2" xfId="4075"/>
    <cellStyle name="표준 71 2 3" xfId="4076"/>
    <cellStyle name="표준 71 3" xfId="753"/>
    <cellStyle name="표준 71 3 2" xfId="4077"/>
    <cellStyle name="표준 71 3 3" xfId="4078"/>
    <cellStyle name="표준 71 4" xfId="754"/>
    <cellStyle name="표준 71 4 2" xfId="4079"/>
    <cellStyle name="표준 71 4 3" xfId="4080"/>
    <cellStyle name="표준 71 5" xfId="755"/>
    <cellStyle name="표준 71 5 2" xfId="4081"/>
    <cellStyle name="표준 71 5 3" xfId="4082"/>
    <cellStyle name="표준 71 6" xfId="756"/>
    <cellStyle name="표준 71 6 2" xfId="4083"/>
    <cellStyle name="표준 71 6 3" xfId="4084"/>
    <cellStyle name="표준 71 7" xfId="757"/>
    <cellStyle name="표준 71 7 2" xfId="4085"/>
    <cellStyle name="표준 71 7 3" xfId="4086"/>
    <cellStyle name="표준 71 8" xfId="758"/>
    <cellStyle name="표준 71 8 2" xfId="4087"/>
    <cellStyle name="표준 71 8 3" xfId="4088"/>
    <cellStyle name="표준 71 9" xfId="1337"/>
    <cellStyle name="표준 71 9 2" xfId="4089"/>
    <cellStyle name="표준 71 9 3" xfId="4090"/>
    <cellStyle name="표준 72" xfId="759"/>
    <cellStyle name="표준 72 10" xfId="760"/>
    <cellStyle name="표준 72 10 2" xfId="4091"/>
    <cellStyle name="표준 72 10 3" xfId="4092"/>
    <cellStyle name="표준 72 11" xfId="761"/>
    <cellStyle name="표준 72 11 2" xfId="4093"/>
    <cellStyle name="표준 72 11 3" xfId="4094"/>
    <cellStyle name="표준 72 12" xfId="762"/>
    <cellStyle name="표준 72 12 2" xfId="4095"/>
    <cellStyle name="표준 72 12 3" xfId="4096"/>
    <cellStyle name="표준 72 13" xfId="763"/>
    <cellStyle name="표준 72 13 2" xfId="4097"/>
    <cellStyle name="표준 72 13 3" xfId="4098"/>
    <cellStyle name="표준 72 14" xfId="764"/>
    <cellStyle name="표준 72 14 2" xfId="4099"/>
    <cellStyle name="표준 72 14 3" xfId="4100"/>
    <cellStyle name="표준 72 15" xfId="1338"/>
    <cellStyle name="표준 72 15 2" xfId="4101"/>
    <cellStyle name="표준 72 15 3" xfId="4102"/>
    <cellStyle name="표준 72 16" xfId="4103"/>
    <cellStyle name="표준 72 17" xfId="4104"/>
    <cellStyle name="표준 72 2" xfId="765"/>
    <cellStyle name="표준 72 2 2" xfId="4105"/>
    <cellStyle name="표준 72 2 3" xfId="4106"/>
    <cellStyle name="표준 72 3" xfId="766"/>
    <cellStyle name="표준 72 3 2" xfId="4107"/>
    <cellStyle name="표준 72 3 3" xfId="4108"/>
    <cellStyle name="표준 72 4" xfId="767"/>
    <cellStyle name="표준 72 4 2" xfId="4109"/>
    <cellStyle name="표준 72 4 3" xfId="4110"/>
    <cellStyle name="표준 72 5" xfId="768"/>
    <cellStyle name="표준 72 5 2" xfId="4111"/>
    <cellStyle name="표준 72 5 3" xfId="4112"/>
    <cellStyle name="표준 72 6" xfId="769"/>
    <cellStyle name="표준 72 6 2" xfId="4113"/>
    <cellStyle name="표준 72 6 3" xfId="4114"/>
    <cellStyle name="표준 72 7" xfId="770"/>
    <cellStyle name="표준 72 7 2" xfId="4115"/>
    <cellStyle name="표준 72 7 3" xfId="4116"/>
    <cellStyle name="표준 72 8" xfId="771"/>
    <cellStyle name="표준 72 8 2" xfId="4117"/>
    <cellStyle name="표준 72 8 3" xfId="4118"/>
    <cellStyle name="표준 72 9" xfId="772"/>
    <cellStyle name="표준 72 9 2" xfId="4119"/>
    <cellStyle name="표준 72 9 3" xfId="4120"/>
    <cellStyle name="표준 73" xfId="773"/>
    <cellStyle name="표준 73 2" xfId="4121"/>
    <cellStyle name="표준 73 3" xfId="4122"/>
    <cellStyle name="표준 74" xfId="774"/>
    <cellStyle name="표준 74 2" xfId="4123"/>
    <cellStyle name="표준 74 3" xfId="4124"/>
    <cellStyle name="표준 75" xfId="775"/>
    <cellStyle name="표준 75 2" xfId="4125"/>
    <cellStyle name="표준 75 3" xfId="4126"/>
    <cellStyle name="표준 76" xfId="776"/>
    <cellStyle name="표준 76 2" xfId="4127"/>
    <cellStyle name="표준 76 3" xfId="4128"/>
    <cellStyle name="표준 77" xfId="777"/>
    <cellStyle name="표준 77 2" xfId="4129"/>
    <cellStyle name="표준 77 3" xfId="4130"/>
    <cellStyle name="표준 78" xfId="778"/>
    <cellStyle name="표준 78 10" xfId="779"/>
    <cellStyle name="표준 78 10 2" xfId="4131"/>
    <cellStyle name="표준 78 10 3" xfId="4132"/>
    <cellStyle name="표준 78 11" xfId="780"/>
    <cellStyle name="표준 78 11 2" xfId="4133"/>
    <cellStyle name="표준 78 11 3" xfId="4134"/>
    <cellStyle name="표준 78 12" xfId="781"/>
    <cellStyle name="표준 78 12 2" xfId="4135"/>
    <cellStyle name="표준 78 12 3" xfId="4136"/>
    <cellStyle name="표준 78 13" xfId="782"/>
    <cellStyle name="표준 78 13 2" xfId="4137"/>
    <cellStyle name="표준 78 13 3" xfId="4138"/>
    <cellStyle name="표준 78 14" xfId="783"/>
    <cellStyle name="표준 78 14 2" xfId="4139"/>
    <cellStyle name="표준 78 14 3" xfId="4140"/>
    <cellStyle name="표준 78 15" xfId="1339"/>
    <cellStyle name="표준 78 15 2" xfId="4141"/>
    <cellStyle name="표준 78 15 3" xfId="4142"/>
    <cellStyle name="표준 78 16" xfId="4143"/>
    <cellStyle name="표준 78 17" xfId="4144"/>
    <cellStyle name="표준 78 2" xfId="784"/>
    <cellStyle name="표준 78 2 2" xfId="4145"/>
    <cellStyle name="표준 78 2 3" xfId="4146"/>
    <cellStyle name="표준 78 3" xfId="785"/>
    <cellStyle name="표준 78 3 2" xfId="4147"/>
    <cellStyle name="표준 78 3 3" xfId="4148"/>
    <cellStyle name="표준 78 4" xfId="786"/>
    <cellStyle name="표준 78 4 2" xfId="4149"/>
    <cellStyle name="표준 78 4 3" xfId="4150"/>
    <cellStyle name="표준 78 5" xfId="787"/>
    <cellStyle name="표준 78 5 2" xfId="4151"/>
    <cellStyle name="표준 78 5 3" xfId="4152"/>
    <cellStyle name="표준 78 6" xfId="788"/>
    <cellStyle name="표준 78 6 2" xfId="4153"/>
    <cellStyle name="표준 78 6 3" xfId="4154"/>
    <cellStyle name="표준 78 7" xfId="789"/>
    <cellStyle name="표준 78 7 2" xfId="4155"/>
    <cellStyle name="표준 78 7 3" xfId="4156"/>
    <cellStyle name="표준 78 8" xfId="790"/>
    <cellStyle name="표준 78 8 2" xfId="4157"/>
    <cellStyle name="표준 78 8 3" xfId="4158"/>
    <cellStyle name="표준 78 9" xfId="791"/>
    <cellStyle name="표준 78 9 2" xfId="4159"/>
    <cellStyle name="표준 78 9 3" xfId="4160"/>
    <cellStyle name="표준 79" xfId="792"/>
    <cellStyle name="표준 79 10" xfId="1340"/>
    <cellStyle name="표준 79 10 2" xfId="4161"/>
    <cellStyle name="표준 79 10 3" xfId="4162"/>
    <cellStyle name="표준 79 11" xfId="4163"/>
    <cellStyle name="표준 79 12" xfId="4164"/>
    <cellStyle name="표준 79 2" xfId="793"/>
    <cellStyle name="표준 79 2 2" xfId="4165"/>
    <cellStyle name="표준 79 2 3" xfId="4166"/>
    <cellStyle name="표준 79 3" xfId="794"/>
    <cellStyle name="표준 79 3 2" xfId="4167"/>
    <cellStyle name="표준 79 3 3" xfId="4168"/>
    <cellStyle name="표준 79 4" xfId="795"/>
    <cellStyle name="표준 79 4 2" xfId="4169"/>
    <cellStyle name="표준 79 4 3" xfId="4170"/>
    <cellStyle name="표준 79 5" xfId="796"/>
    <cellStyle name="표준 79 5 2" xfId="4171"/>
    <cellStyle name="표준 79 5 3" xfId="4172"/>
    <cellStyle name="표준 79 6" xfId="797"/>
    <cellStyle name="표준 79 6 2" xfId="4173"/>
    <cellStyle name="표준 79 6 3" xfId="4174"/>
    <cellStyle name="표준 79 7" xfId="798"/>
    <cellStyle name="표준 79 7 2" xfId="4175"/>
    <cellStyle name="표준 79 7 3" xfId="4176"/>
    <cellStyle name="표준 79 8" xfId="799"/>
    <cellStyle name="표준 79 8 2" xfId="4177"/>
    <cellStyle name="표준 79 8 3" xfId="4178"/>
    <cellStyle name="표준 79 9" xfId="800"/>
    <cellStyle name="표준 79 9 2" xfId="4179"/>
    <cellStyle name="표준 79 9 3" xfId="4180"/>
    <cellStyle name="표준 8" xfId="801"/>
    <cellStyle name="표준 8 2" xfId="4181"/>
    <cellStyle name="표준 8 3" xfId="4182"/>
    <cellStyle name="표준 80" xfId="802"/>
    <cellStyle name="표준 80 10" xfId="1341"/>
    <cellStyle name="표준 80 10 2" xfId="4183"/>
    <cellStyle name="표준 80 10 3" xfId="4184"/>
    <cellStyle name="표준 80 11" xfId="4185"/>
    <cellStyle name="표준 80 12" xfId="4186"/>
    <cellStyle name="표준 80 2" xfId="803"/>
    <cellStyle name="표준 80 2 2" xfId="4187"/>
    <cellStyle name="표준 80 2 3" xfId="4188"/>
    <cellStyle name="표준 80 3" xfId="804"/>
    <cellStyle name="표준 80 3 2" xfId="4189"/>
    <cellStyle name="표준 80 3 3" xfId="4190"/>
    <cellStyle name="표준 80 4" xfId="805"/>
    <cellStyle name="표준 80 4 2" xfId="4191"/>
    <cellStyle name="표준 80 4 3" xfId="4192"/>
    <cellStyle name="표준 80 5" xfId="806"/>
    <cellStyle name="표준 80 5 2" xfId="4193"/>
    <cellStyle name="표준 80 5 3" xfId="4194"/>
    <cellStyle name="표준 80 6" xfId="807"/>
    <cellStyle name="표준 80 6 2" xfId="4195"/>
    <cellStyle name="표준 80 6 3" xfId="4196"/>
    <cellStyle name="표준 80 7" xfId="808"/>
    <cellStyle name="표준 80 7 2" xfId="4197"/>
    <cellStyle name="표준 80 7 3" xfId="4198"/>
    <cellStyle name="표준 80 8" xfId="809"/>
    <cellStyle name="표준 80 8 2" xfId="4199"/>
    <cellStyle name="표준 80 8 3" xfId="4200"/>
    <cellStyle name="표준 80 9" xfId="810"/>
    <cellStyle name="표준 80 9 2" xfId="4201"/>
    <cellStyle name="표준 80 9 3" xfId="4202"/>
    <cellStyle name="표준 81" xfId="811"/>
    <cellStyle name="표준 81 10" xfId="1342"/>
    <cellStyle name="표준 81 10 2" xfId="4203"/>
    <cellStyle name="표준 81 10 3" xfId="4204"/>
    <cellStyle name="표준 81 11" xfId="4205"/>
    <cellStyle name="표준 81 12" xfId="4206"/>
    <cellStyle name="표준 81 2" xfId="812"/>
    <cellStyle name="표준 81 2 2" xfId="4207"/>
    <cellStyle name="표준 81 2 3" xfId="4208"/>
    <cellStyle name="표준 81 3" xfId="813"/>
    <cellStyle name="표준 81 3 2" xfId="4209"/>
    <cellStyle name="표준 81 3 3" xfId="4210"/>
    <cellStyle name="표준 81 4" xfId="814"/>
    <cellStyle name="표준 81 4 2" xfId="4211"/>
    <cellStyle name="표준 81 4 3" xfId="4212"/>
    <cellStyle name="표준 81 5" xfId="815"/>
    <cellStyle name="표준 81 5 2" xfId="4213"/>
    <cellStyle name="표준 81 5 3" xfId="4214"/>
    <cellStyle name="표준 81 6" xfId="816"/>
    <cellStyle name="표준 81 6 2" xfId="4215"/>
    <cellStyle name="표준 81 6 3" xfId="4216"/>
    <cellStyle name="표준 81 7" xfId="817"/>
    <cellStyle name="표준 81 7 2" xfId="4217"/>
    <cellStyle name="표준 81 7 3" xfId="4218"/>
    <cellStyle name="표준 81 8" xfId="818"/>
    <cellStyle name="표준 81 8 2" xfId="4219"/>
    <cellStyle name="표준 81 8 3" xfId="4220"/>
    <cellStyle name="표준 81 9" xfId="819"/>
    <cellStyle name="표준 81 9 2" xfId="4221"/>
    <cellStyle name="표준 81 9 3" xfId="4222"/>
    <cellStyle name="표준 82" xfId="820"/>
    <cellStyle name="표준 82 10" xfId="1343"/>
    <cellStyle name="표준 82 10 2" xfId="4223"/>
    <cellStyle name="표준 82 10 3" xfId="4224"/>
    <cellStyle name="표준 82 11" xfId="4225"/>
    <cellStyle name="표준 82 12" xfId="4226"/>
    <cellStyle name="표준 82 2" xfId="821"/>
    <cellStyle name="표준 82 2 2" xfId="4227"/>
    <cellStyle name="표준 82 2 3" xfId="4228"/>
    <cellStyle name="표준 82 3" xfId="822"/>
    <cellStyle name="표준 82 3 2" xfId="4229"/>
    <cellStyle name="표준 82 3 3" xfId="4230"/>
    <cellStyle name="표준 82 4" xfId="823"/>
    <cellStyle name="표준 82 4 2" xfId="4231"/>
    <cellStyle name="표준 82 4 3" xfId="4232"/>
    <cellStyle name="표준 82 5" xfId="824"/>
    <cellStyle name="표준 82 5 2" xfId="4233"/>
    <cellStyle name="표준 82 5 3" xfId="4234"/>
    <cellStyle name="표준 82 6" xfId="825"/>
    <cellStyle name="표준 82 6 2" xfId="4235"/>
    <cellStyle name="표준 82 6 3" xfId="4236"/>
    <cellStyle name="표준 82 7" xfId="826"/>
    <cellStyle name="표준 82 7 2" xfId="4237"/>
    <cellStyle name="표준 82 7 3" xfId="4238"/>
    <cellStyle name="표준 82 8" xfId="827"/>
    <cellStyle name="표준 82 8 2" xfId="4239"/>
    <cellStyle name="표준 82 8 3" xfId="4240"/>
    <cellStyle name="표준 82 9" xfId="828"/>
    <cellStyle name="표준 82 9 2" xfId="4241"/>
    <cellStyle name="표준 82 9 3" xfId="4242"/>
    <cellStyle name="표준 83" xfId="829"/>
    <cellStyle name="표준 83 10" xfId="1344"/>
    <cellStyle name="표준 83 10 2" xfId="4243"/>
    <cellStyle name="표준 83 10 3" xfId="4244"/>
    <cellStyle name="표준 83 11" xfId="4245"/>
    <cellStyle name="표준 83 12" xfId="4246"/>
    <cellStyle name="표준 83 2" xfId="830"/>
    <cellStyle name="표준 83 2 2" xfId="4247"/>
    <cellStyle name="표준 83 2 3" xfId="4248"/>
    <cellStyle name="표준 83 3" xfId="831"/>
    <cellStyle name="표준 83 3 2" xfId="4249"/>
    <cellStyle name="표준 83 3 3" xfId="4250"/>
    <cellStyle name="표준 83 4" xfId="832"/>
    <cellStyle name="표준 83 4 2" xfId="4251"/>
    <cellStyle name="표준 83 4 3" xfId="4252"/>
    <cellStyle name="표준 83 5" xfId="833"/>
    <cellStyle name="표준 83 5 2" xfId="4253"/>
    <cellStyle name="표준 83 5 3" xfId="4254"/>
    <cellStyle name="표준 83 6" xfId="834"/>
    <cellStyle name="표준 83 6 2" xfId="4255"/>
    <cellStyle name="표준 83 6 3" xfId="4256"/>
    <cellStyle name="표준 83 7" xfId="835"/>
    <cellStyle name="표준 83 7 2" xfId="4257"/>
    <cellStyle name="표준 83 7 3" xfId="4258"/>
    <cellStyle name="표준 83 8" xfId="836"/>
    <cellStyle name="표준 83 8 2" xfId="4259"/>
    <cellStyle name="표준 83 8 3" xfId="4260"/>
    <cellStyle name="표준 83 9" xfId="837"/>
    <cellStyle name="표준 83 9 2" xfId="4261"/>
    <cellStyle name="표준 83 9 3" xfId="4262"/>
    <cellStyle name="표준 84" xfId="838"/>
    <cellStyle name="표준 84 10" xfId="1345"/>
    <cellStyle name="표준 84 10 2" xfId="4263"/>
    <cellStyle name="표준 84 10 3" xfId="4264"/>
    <cellStyle name="표준 84 11" xfId="4265"/>
    <cellStyle name="표준 84 12" xfId="4266"/>
    <cellStyle name="표준 84 2" xfId="839"/>
    <cellStyle name="표준 84 2 2" xfId="4267"/>
    <cellStyle name="표준 84 2 3" xfId="4268"/>
    <cellStyle name="표준 84 3" xfId="840"/>
    <cellStyle name="표준 84 3 2" xfId="4269"/>
    <cellStyle name="표준 84 3 3" xfId="4270"/>
    <cellStyle name="표준 84 4" xfId="841"/>
    <cellStyle name="표준 84 4 2" xfId="4271"/>
    <cellStyle name="표준 84 4 3" xfId="4272"/>
    <cellStyle name="표준 84 5" xfId="842"/>
    <cellStyle name="표준 84 5 2" xfId="4273"/>
    <cellStyle name="표준 84 5 3" xfId="4274"/>
    <cellStyle name="표준 84 6" xfId="843"/>
    <cellStyle name="표준 84 6 2" xfId="4275"/>
    <cellStyle name="표준 84 6 3" xfId="4276"/>
    <cellStyle name="표준 84 7" xfId="844"/>
    <cellStyle name="표준 84 7 2" xfId="4277"/>
    <cellStyle name="표준 84 7 3" xfId="4278"/>
    <cellStyle name="표준 84 8" xfId="845"/>
    <cellStyle name="표준 84 8 2" xfId="4279"/>
    <cellStyle name="표준 84 8 3" xfId="4280"/>
    <cellStyle name="표준 84 9" xfId="846"/>
    <cellStyle name="표준 84 9 2" xfId="4281"/>
    <cellStyle name="표준 84 9 3" xfId="4282"/>
    <cellStyle name="표준 85" xfId="847"/>
    <cellStyle name="표준 85 10" xfId="1346"/>
    <cellStyle name="표준 85 10 2" xfId="4283"/>
    <cellStyle name="표준 85 10 3" xfId="4284"/>
    <cellStyle name="표준 85 11" xfId="4285"/>
    <cellStyle name="표준 85 12" xfId="4286"/>
    <cellStyle name="표준 85 2" xfId="848"/>
    <cellStyle name="표준 85 2 2" xfId="4287"/>
    <cellStyle name="표준 85 2 3" xfId="4288"/>
    <cellStyle name="표준 85 3" xfId="849"/>
    <cellStyle name="표준 85 3 2" xfId="4289"/>
    <cellStyle name="표준 85 3 3" xfId="4290"/>
    <cellStyle name="표준 85 4" xfId="850"/>
    <cellStyle name="표준 85 4 2" xfId="4291"/>
    <cellStyle name="표준 85 4 3" xfId="4292"/>
    <cellStyle name="표준 85 5" xfId="851"/>
    <cellStyle name="표준 85 5 2" xfId="4293"/>
    <cellStyle name="표준 85 5 3" xfId="4294"/>
    <cellStyle name="표준 85 6" xfId="852"/>
    <cellStyle name="표준 85 6 2" xfId="4295"/>
    <cellStyle name="표준 85 6 3" xfId="4296"/>
    <cellStyle name="표준 85 7" xfId="853"/>
    <cellStyle name="표준 85 7 2" xfId="4297"/>
    <cellStyle name="표준 85 7 3" xfId="4298"/>
    <cellStyle name="표준 85 8" xfId="854"/>
    <cellStyle name="표준 85 8 2" xfId="4299"/>
    <cellStyle name="표준 85 8 3" xfId="4300"/>
    <cellStyle name="표준 85 9" xfId="855"/>
    <cellStyle name="표준 85 9 2" xfId="4301"/>
    <cellStyle name="표준 85 9 3" xfId="4302"/>
    <cellStyle name="표준 86" xfId="856"/>
    <cellStyle name="표준 86 10" xfId="1347"/>
    <cellStyle name="표준 86 10 2" xfId="4303"/>
    <cellStyle name="표준 86 10 3" xfId="4304"/>
    <cellStyle name="표준 86 11" xfId="4305"/>
    <cellStyle name="표준 86 12" xfId="4306"/>
    <cellStyle name="표준 86 2" xfId="857"/>
    <cellStyle name="표준 86 2 2" xfId="4307"/>
    <cellStyle name="표준 86 2 3" xfId="4308"/>
    <cellStyle name="표준 86 3" xfId="858"/>
    <cellStyle name="표준 86 3 2" xfId="4309"/>
    <cellStyle name="표준 86 3 3" xfId="4310"/>
    <cellStyle name="표준 86 4" xfId="859"/>
    <cellStyle name="표준 86 4 2" xfId="4311"/>
    <cellStyle name="표준 86 4 3" xfId="4312"/>
    <cellStyle name="표준 86 5" xfId="860"/>
    <cellStyle name="표준 86 5 2" xfId="4313"/>
    <cellStyle name="표준 86 5 3" xfId="4314"/>
    <cellStyle name="표준 86 6" xfId="861"/>
    <cellStyle name="표준 86 6 2" xfId="4315"/>
    <cellStyle name="표준 86 6 3" xfId="4316"/>
    <cellStyle name="표준 86 7" xfId="862"/>
    <cellStyle name="표준 86 7 2" xfId="4317"/>
    <cellStyle name="표준 86 7 3" xfId="4318"/>
    <cellStyle name="표준 86 8" xfId="863"/>
    <cellStyle name="표준 86 8 2" xfId="4319"/>
    <cellStyle name="표준 86 8 3" xfId="4320"/>
    <cellStyle name="표준 86 9" xfId="864"/>
    <cellStyle name="표준 86 9 2" xfId="4321"/>
    <cellStyle name="표준 86 9 3" xfId="4322"/>
    <cellStyle name="표준 87" xfId="865"/>
    <cellStyle name="표준 87 2" xfId="866"/>
    <cellStyle name="표준 87 2 2" xfId="4323"/>
    <cellStyle name="표준 87 2 3" xfId="4324"/>
    <cellStyle name="표준 87 3" xfId="1348"/>
    <cellStyle name="표준 87 3 2" xfId="4325"/>
    <cellStyle name="표준 87 3 3" xfId="4326"/>
    <cellStyle name="표준 87 4" xfId="4327"/>
    <cellStyle name="표준 87 5" xfId="4328"/>
    <cellStyle name="표준 88" xfId="867"/>
    <cellStyle name="표준 88 2" xfId="868"/>
    <cellStyle name="표준 88 2 2" xfId="4329"/>
    <cellStyle name="표준 88 2 3" xfId="4330"/>
    <cellStyle name="표준 88 3" xfId="1349"/>
    <cellStyle name="표준 88 3 2" xfId="4331"/>
    <cellStyle name="표준 88 3 3" xfId="4332"/>
    <cellStyle name="표준 88 4" xfId="4333"/>
    <cellStyle name="표준 88 5" xfId="4334"/>
    <cellStyle name="표준 89" xfId="869"/>
    <cellStyle name="표준 89 2" xfId="870"/>
    <cellStyle name="표준 89 2 2" xfId="4335"/>
    <cellStyle name="표준 89 2 3" xfId="4336"/>
    <cellStyle name="표준 89 3" xfId="1350"/>
    <cellStyle name="표준 89 3 2" xfId="4337"/>
    <cellStyle name="표준 89 3 3" xfId="4338"/>
    <cellStyle name="표준 89 4" xfId="4339"/>
    <cellStyle name="표준 89 5" xfId="4340"/>
    <cellStyle name="표준 9" xfId="871"/>
    <cellStyle name="표준 9 2" xfId="4341"/>
    <cellStyle name="표준 9 3" xfId="4342"/>
    <cellStyle name="표준 90" xfId="872"/>
    <cellStyle name="표준 90 2" xfId="873"/>
    <cellStyle name="표준 90 2 2" xfId="4343"/>
    <cellStyle name="표준 90 2 3" xfId="4344"/>
    <cellStyle name="표준 90 3" xfId="1351"/>
    <cellStyle name="표준 90 3 2" xfId="4345"/>
    <cellStyle name="표준 90 3 3" xfId="4346"/>
    <cellStyle name="표준 90 4" xfId="4347"/>
    <cellStyle name="표준 90 5" xfId="4348"/>
    <cellStyle name="표준 91" xfId="874"/>
    <cellStyle name="표준 91 10" xfId="1352"/>
    <cellStyle name="표준 91 10 2" xfId="4349"/>
    <cellStyle name="표준 91 10 3" xfId="4350"/>
    <cellStyle name="표준 91 11" xfId="4351"/>
    <cellStyle name="표준 91 12" xfId="4352"/>
    <cellStyle name="표준 91 2" xfId="875"/>
    <cellStyle name="표준 91 2 2" xfId="4353"/>
    <cellStyle name="표준 91 2 3" xfId="4354"/>
    <cellStyle name="표준 91 3" xfId="876"/>
    <cellStyle name="표준 91 3 2" xfId="4355"/>
    <cellStyle name="표준 91 3 3" xfId="4356"/>
    <cellStyle name="표준 91 4" xfId="877"/>
    <cellStyle name="표준 91 4 2" xfId="4357"/>
    <cellStyle name="표준 91 4 3" xfId="4358"/>
    <cellStyle name="표준 91 5" xfId="878"/>
    <cellStyle name="표준 91 5 2" xfId="4359"/>
    <cellStyle name="표준 91 5 3" xfId="4360"/>
    <cellStyle name="표준 91 6" xfId="879"/>
    <cellStyle name="표준 91 6 2" xfId="4361"/>
    <cellStyle name="표준 91 6 3" xfId="4362"/>
    <cellStyle name="표준 91 7" xfId="880"/>
    <cellStyle name="표준 91 7 2" xfId="4363"/>
    <cellStyle name="표준 91 7 3" xfId="4364"/>
    <cellStyle name="표준 91 8" xfId="881"/>
    <cellStyle name="표준 91 8 2" xfId="4365"/>
    <cellStyle name="표준 91 8 3" xfId="4366"/>
    <cellStyle name="표준 91 9" xfId="882"/>
    <cellStyle name="표준 91 9 2" xfId="4367"/>
    <cellStyle name="표준 91 9 3" xfId="4368"/>
    <cellStyle name="표준 92" xfId="883"/>
    <cellStyle name="표준 92 2" xfId="884"/>
    <cellStyle name="표준 92 2 2" xfId="4369"/>
    <cellStyle name="표준 92 2 3" xfId="4370"/>
    <cellStyle name="표준 92 3" xfId="1353"/>
    <cellStyle name="표준 92 3 2" xfId="4371"/>
    <cellStyle name="표준 92 3 3" xfId="4372"/>
    <cellStyle name="표준 92 4" xfId="4373"/>
    <cellStyle name="표준 92 5" xfId="4374"/>
    <cellStyle name="표준 93" xfId="885"/>
    <cellStyle name="표준 93 10" xfId="1354"/>
    <cellStyle name="표준 93 10 2" xfId="4375"/>
    <cellStyle name="표준 93 10 3" xfId="4376"/>
    <cellStyle name="표준 93 11" xfId="4377"/>
    <cellStyle name="표준 93 12" xfId="4378"/>
    <cellStyle name="표준 93 2" xfId="886"/>
    <cellStyle name="표준 93 2 2" xfId="4379"/>
    <cellStyle name="표준 93 2 3" xfId="4380"/>
    <cellStyle name="표준 93 3" xfId="887"/>
    <cellStyle name="표준 93 3 2" xfId="4381"/>
    <cellStyle name="표준 93 3 3" xfId="4382"/>
    <cellStyle name="표준 93 4" xfId="888"/>
    <cellStyle name="표준 93 4 2" xfId="4383"/>
    <cellStyle name="표준 93 4 3" xfId="4384"/>
    <cellStyle name="표준 93 5" xfId="889"/>
    <cellStyle name="표준 93 5 2" xfId="4385"/>
    <cellStyle name="표준 93 5 3" xfId="4386"/>
    <cellStyle name="표준 93 6" xfId="890"/>
    <cellStyle name="표준 93 6 2" xfId="4387"/>
    <cellStyle name="표준 93 6 3" xfId="4388"/>
    <cellStyle name="표준 93 7" xfId="891"/>
    <cellStyle name="표준 93 7 2" xfId="4389"/>
    <cellStyle name="표준 93 7 3" xfId="4390"/>
    <cellStyle name="표준 93 8" xfId="892"/>
    <cellStyle name="표준 93 8 2" xfId="4391"/>
    <cellStyle name="표준 93 8 3" xfId="4392"/>
    <cellStyle name="표준 93 9" xfId="893"/>
    <cellStyle name="표준 93 9 2" xfId="4393"/>
    <cellStyle name="표준 93 9 3" xfId="4394"/>
    <cellStyle name="표준 94" xfId="894"/>
    <cellStyle name="표준 94 10" xfId="1355"/>
    <cellStyle name="표준 94 10 2" xfId="4395"/>
    <cellStyle name="표준 94 10 3" xfId="4396"/>
    <cellStyle name="표준 94 11" xfId="4397"/>
    <cellStyle name="표준 94 12" xfId="4398"/>
    <cellStyle name="표준 94 2" xfId="895"/>
    <cellStyle name="표준 94 2 2" xfId="4399"/>
    <cellStyle name="표준 94 2 3" xfId="4400"/>
    <cellStyle name="표준 94 3" xfId="896"/>
    <cellStyle name="표준 94 3 2" xfId="4401"/>
    <cellStyle name="표준 94 3 3" xfId="4402"/>
    <cellStyle name="표준 94 4" xfId="897"/>
    <cellStyle name="표준 94 4 2" xfId="4403"/>
    <cellStyle name="표준 94 4 3" xfId="4404"/>
    <cellStyle name="표준 94 5" xfId="898"/>
    <cellStyle name="표준 94 5 2" xfId="4405"/>
    <cellStyle name="표준 94 5 3" xfId="4406"/>
    <cellStyle name="표준 94 6" xfId="899"/>
    <cellStyle name="표준 94 6 2" xfId="4407"/>
    <cellStyle name="표준 94 6 3" xfId="4408"/>
    <cellStyle name="표준 94 7" xfId="900"/>
    <cellStyle name="표준 94 7 2" xfId="4409"/>
    <cellStyle name="표준 94 7 3" xfId="4410"/>
    <cellStyle name="표준 94 8" xfId="901"/>
    <cellStyle name="표준 94 8 2" xfId="4411"/>
    <cellStyle name="표준 94 8 3" xfId="4412"/>
    <cellStyle name="표준 94 9" xfId="902"/>
    <cellStyle name="표준 94 9 2" xfId="4413"/>
    <cellStyle name="표준 94 9 3" xfId="4414"/>
    <cellStyle name="표준 95" xfId="903"/>
    <cellStyle name="표준 95 10" xfId="1356"/>
    <cellStyle name="표준 95 10 2" xfId="4415"/>
    <cellStyle name="표준 95 10 3" xfId="4416"/>
    <cellStyle name="표준 95 11" xfId="4417"/>
    <cellStyle name="표준 95 12" xfId="4418"/>
    <cellStyle name="표준 95 2" xfId="904"/>
    <cellStyle name="표준 95 2 2" xfId="4419"/>
    <cellStyle name="표준 95 2 3" xfId="4420"/>
    <cellStyle name="표준 95 3" xfId="905"/>
    <cellStyle name="표준 95 3 2" xfId="4421"/>
    <cellStyle name="표준 95 3 3" xfId="4422"/>
    <cellStyle name="표준 95 4" xfId="906"/>
    <cellStyle name="표준 95 4 2" xfId="4423"/>
    <cellStyle name="표준 95 4 3" xfId="4424"/>
    <cellStyle name="표준 95 5" xfId="907"/>
    <cellStyle name="표준 95 5 2" xfId="4425"/>
    <cellStyle name="표준 95 5 3" xfId="4426"/>
    <cellStyle name="표준 95 6" xfId="908"/>
    <cellStyle name="표준 95 6 2" xfId="4427"/>
    <cellStyle name="표준 95 6 3" xfId="4428"/>
    <cellStyle name="표준 95 7" xfId="909"/>
    <cellStyle name="표준 95 7 2" xfId="4429"/>
    <cellStyle name="표준 95 7 3" xfId="4430"/>
    <cellStyle name="표준 95 8" xfId="910"/>
    <cellStyle name="표준 95 8 2" xfId="4431"/>
    <cellStyle name="표준 95 8 3" xfId="4432"/>
    <cellStyle name="표준 95 9" xfId="911"/>
    <cellStyle name="표준 95 9 2" xfId="4433"/>
    <cellStyle name="표준 95 9 3" xfId="4434"/>
    <cellStyle name="표준 96" xfId="912"/>
    <cellStyle name="표준 96 2" xfId="913"/>
    <cellStyle name="표준 96 2 2" xfId="4435"/>
    <cellStyle name="표준 96 2 3" xfId="4436"/>
    <cellStyle name="표준 96 3" xfId="1357"/>
    <cellStyle name="표준 96 3 2" xfId="4437"/>
    <cellStyle name="표준 96 3 3" xfId="4438"/>
    <cellStyle name="표준 96 4" xfId="4439"/>
    <cellStyle name="표준 96 5" xfId="4440"/>
    <cellStyle name="표준 97" xfId="914"/>
    <cellStyle name="표준 97 10" xfId="1358"/>
    <cellStyle name="표준 97 10 2" xfId="4441"/>
    <cellStyle name="표준 97 10 3" xfId="4442"/>
    <cellStyle name="표준 97 11" xfId="4443"/>
    <cellStyle name="표준 97 12" xfId="4444"/>
    <cellStyle name="표준 97 2" xfId="915"/>
    <cellStyle name="표준 97 2 2" xfId="4445"/>
    <cellStyle name="표준 97 2 3" xfId="4446"/>
    <cellStyle name="표준 97 3" xfId="916"/>
    <cellStyle name="표준 97 3 2" xfId="4447"/>
    <cellStyle name="표준 97 3 3" xfId="4448"/>
    <cellStyle name="표준 97 4" xfId="917"/>
    <cellStyle name="표준 97 4 2" xfId="4449"/>
    <cellStyle name="표준 97 4 3" xfId="4450"/>
    <cellStyle name="표준 97 5" xfId="918"/>
    <cellStyle name="표준 97 5 2" xfId="4451"/>
    <cellStyle name="표준 97 5 3" xfId="4452"/>
    <cellStyle name="표준 97 6" xfId="919"/>
    <cellStyle name="표준 97 6 2" xfId="4453"/>
    <cellStyle name="표준 97 6 3" xfId="4454"/>
    <cellStyle name="표준 97 7" xfId="920"/>
    <cellStyle name="표준 97 7 2" xfId="4455"/>
    <cellStyle name="표준 97 7 3" xfId="4456"/>
    <cellStyle name="표준 97 8" xfId="921"/>
    <cellStyle name="표준 97 8 2" xfId="4457"/>
    <cellStyle name="표준 97 8 3" xfId="4458"/>
    <cellStyle name="표준 97 9" xfId="922"/>
    <cellStyle name="표준 97 9 2" xfId="4459"/>
    <cellStyle name="표준 97 9 3" xfId="4460"/>
    <cellStyle name="표준 98" xfId="923"/>
    <cellStyle name="표준 98 10" xfId="1359"/>
    <cellStyle name="표준 98 10 2" xfId="4461"/>
    <cellStyle name="표준 98 10 3" xfId="4462"/>
    <cellStyle name="표준 98 11" xfId="4463"/>
    <cellStyle name="표준 98 12" xfId="4464"/>
    <cellStyle name="표준 98 2" xfId="924"/>
    <cellStyle name="표준 98 2 2" xfId="4465"/>
    <cellStyle name="표준 98 2 3" xfId="4466"/>
    <cellStyle name="표준 98 3" xfId="925"/>
    <cellStyle name="표준 98 3 2" xfId="4467"/>
    <cellStyle name="표준 98 3 3" xfId="4468"/>
    <cellStyle name="표준 98 4" xfId="926"/>
    <cellStyle name="표준 98 4 2" xfId="4469"/>
    <cellStyle name="표준 98 4 3" xfId="4470"/>
    <cellStyle name="표준 98 5" xfId="927"/>
    <cellStyle name="표준 98 5 2" xfId="4471"/>
    <cellStyle name="표준 98 5 3" xfId="4472"/>
    <cellStyle name="표준 98 6" xfId="928"/>
    <cellStyle name="표준 98 6 2" xfId="4473"/>
    <cellStyle name="표준 98 6 3" xfId="4474"/>
    <cellStyle name="표준 98 7" xfId="929"/>
    <cellStyle name="표준 98 7 2" xfId="4475"/>
    <cellStyle name="표준 98 7 3" xfId="4476"/>
    <cellStyle name="표준 98 8" xfId="930"/>
    <cellStyle name="표준 98 8 2" xfId="4477"/>
    <cellStyle name="표준 98 8 3" xfId="4478"/>
    <cellStyle name="표준 98 9" xfId="931"/>
    <cellStyle name="표준 98 9 2" xfId="4479"/>
    <cellStyle name="표준 98 9 3" xfId="4480"/>
    <cellStyle name="표준 99" xfId="932"/>
    <cellStyle name="표준 99 2" xfId="933"/>
    <cellStyle name="표준 99 2 2" xfId="4481"/>
    <cellStyle name="표준 99 2 3" xfId="4482"/>
    <cellStyle name="표준 99 3" xfId="1360"/>
    <cellStyle name="표준 99 3 2" xfId="4483"/>
    <cellStyle name="표준 99 3 3" xfId="4484"/>
    <cellStyle name="표준 99 4" xfId="4485"/>
    <cellStyle name="표준 99 5" xfId="4486"/>
    <cellStyle name="하이퍼링크 2" xfId="1488"/>
    <cellStyle name="하이퍼링크 2 2" xfId="4507"/>
    <cellStyle name="하이퍼링크 2 3" xfId="4514"/>
    <cellStyle name="하이퍼링크 2 4" xfId="4495"/>
    <cellStyle name="하이퍼링크 3" xfId="150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9</xdr:row>
      <xdr:rowOff>133350</xdr:rowOff>
    </xdr:from>
    <xdr:to>
      <xdr:col>3</xdr:col>
      <xdr:colOff>2133600</xdr:colOff>
      <xdr:row>18</xdr:row>
      <xdr:rowOff>0</xdr:rowOff>
    </xdr:to>
    <xdr:sp macro="[0]!trans_all" textlink="">
      <xdr:nvSpPr>
        <xdr:cNvPr id="2" name="타원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47975" y="2724150"/>
          <a:ext cx="1781175" cy="1238250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변환하고 저장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D51"/>
  <sheetViews>
    <sheetView workbookViewId="0">
      <selection activeCell="F21" sqref="F21"/>
    </sheetView>
  </sheetViews>
  <sheetFormatPr defaultRowHeight="12"/>
  <cols>
    <col min="1" max="1" width="9" style="2"/>
    <col min="2" max="2" width="31" style="2" customWidth="1"/>
    <col min="3" max="3" width="4.5" style="2" bestFit="1" customWidth="1"/>
    <col min="4" max="4" width="32.75" style="2" customWidth="1"/>
    <col min="5" max="5" width="26.25" style="2" customWidth="1"/>
    <col min="6" max="6" width="25.5" style="2" customWidth="1"/>
    <col min="7" max="7" width="20.75" style="2" customWidth="1"/>
    <col min="8" max="8" width="18.25" style="2" customWidth="1"/>
    <col min="9" max="16384" width="9" style="2"/>
  </cols>
  <sheetData>
    <row r="1" spans="1:2">
      <c r="A1" s="3">
        <f>SUM(A2:A1048576)-1</f>
        <v>39</v>
      </c>
      <c r="B1" s="26" t="s">
        <v>3</v>
      </c>
    </row>
    <row r="2" spans="1:2">
      <c r="A2" s="4">
        <v>1</v>
      </c>
      <c r="B2" s="4" t="s">
        <v>1201</v>
      </c>
    </row>
    <row r="3" spans="1:2">
      <c r="A3" s="2">
        <v>1</v>
      </c>
      <c r="B3" s="2" t="s">
        <v>1172</v>
      </c>
    </row>
    <row r="4" spans="1:2">
      <c r="A4" s="26">
        <v>1</v>
      </c>
      <c r="B4" s="2" t="s">
        <v>1173</v>
      </c>
    </row>
    <row r="5" spans="1:2">
      <c r="A5" s="7">
        <v>1</v>
      </c>
      <c r="B5" s="2" t="s">
        <v>1174</v>
      </c>
    </row>
    <row r="6" spans="1:2">
      <c r="A6" s="26">
        <v>1</v>
      </c>
      <c r="B6" s="2" t="s">
        <v>78</v>
      </c>
    </row>
    <row r="7" spans="1:2">
      <c r="A7" s="7">
        <v>1</v>
      </c>
      <c r="B7" s="2" t="s">
        <v>79</v>
      </c>
    </row>
    <row r="8" spans="1:2">
      <c r="A8" s="26">
        <v>1</v>
      </c>
      <c r="B8" s="2" t="s">
        <v>80</v>
      </c>
    </row>
    <row r="9" spans="1:2">
      <c r="A9" s="7">
        <v>1</v>
      </c>
      <c r="B9" s="2" t="s">
        <v>81</v>
      </c>
    </row>
    <row r="10" spans="1:2">
      <c r="A10" s="26">
        <v>1</v>
      </c>
      <c r="B10" s="2" t="s">
        <v>82</v>
      </c>
    </row>
    <row r="11" spans="1:2">
      <c r="A11" s="7">
        <v>1</v>
      </c>
      <c r="B11" s="2" t="s">
        <v>1175</v>
      </c>
    </row>
    <row r="12" spans="1:2">
      <c r="A12" s="26">
        <v>1</v>
      </c>
      <c r="B12" s="2" t="s">
        <v>84</v>
      </c>
    </row>
    <row r="13" spans="1:2">
      <c r="A13" s="7">
        <v>1</v>
      </c>
      <c r="B13" s="2" t="s">
        <v>1176</v>
      </c>
    </row>
    <row r="14" spans="1:2">
      <c r="A14" s="26">
        <v>1</v>
      </c>
      <c r="B14" s="2" t="s">
        <v>1202</v>
      </c>
    </row>
    <row r="15" spans="1:2">
      <c r="A15" s="7">
        <v>1</v>
      </c>
      <c r="B15" s="2" t="s">
        <v>1177</v>
      </c>
    </row>
    <row r="16" spans="1:2">
      <c r="A16" s="26">
        <v>1</v>
      </c>
      <c r="B16" s="2" t="s">
        <v>1178</v>
      </c>
    </row>
    <row r="17" spans="1:4">
      <c r="A17" s="7">
        <v>1</v>
      </c>
      <c r="B17" s="2" t="s">
        <v>1179</v>
      </c>
    </row>
    <row r="18" spans="1:4">
      <c r="A18" s="26">
        <v>1</v>
      </c>
      <c r="B18" s="2" t="s">
        <v>90</v>
      </c>
    </row>
    <row r="19" spans="1:4">
      <c r="A19" s="7">
        <v>1</v>
      </c>
      <c r="B19" s="2" t="s">
        <v>1180</v>
      </c>
      <c r="D19" s="2" t="s">
        <v>4</v>
      </c>
    </row>
    <row r="20" spans="1:4">
      <c r="A20" s="26">
        <v>1</v>
      </c>
      <c r="B20" s="2" t="s">
        <v>1181</v>
      </c>
    </row>
    <row r="21" spans="1:4">
      <c r="A21" s="7">
        <v>1</v>
      </c>
      <c r="B21" s="2" t="s">
        <v>1182</v>
      </c>
    </row>
    <row r="22" spans="1:4">
      <c r="A22" s="26">
        <v>1</v>
      </c>
      <c r="B22" s="2" t="s">
        <v>1183</v>
      </c>
    </row>
    <row r="23" spans="1:4">
      <c r="A23" s="7">
        <v>1</v>
      </c>
      <c r="B23" s="2" t="s">
        <v>1184</v>
      </c>
    </row>
    <row r="24" spans="1:4">
      <c r="A24" s="26">
        <v>1</v>
      </c>
      <c r="B24" s="2" t="s">
        <v>1185</v>
      </c>
    </row>
    <row r="25" spans="1:4">
      <c r="A25" s="7">
        <v>1</v>
      </c>
      <c r="B25" s="2" t="s">
        <v>1186</v>
      </c>
    </row>
    <row r="26" spans="1:4">
      <c r="A26" s="26">
        <v>1</v>
      </c>
      <c r="B26" s="2" t="s">
        <v>1187</v>
      </c>
    </row>
    <row r="27" spans="1:4">
      <c r="A27" s="7">
        <v>1</v>
      </c>
      <c r="B27" s="2" t="s">
        <v>1188</v>
      </c>
    </row>
    <row r="28" spans="1:4">
      <c r="A28" s="26">
        <v>1</v>
      </c>
      <c r="B28" s="2" t="s">
        <v>1189</v>
      </c>
    </row>
    <row r="29" spans="1:4">
      <c r="A29" s="7">
        <v>1</v>
      </c>
      <c r="B29" s="2" t="s">
        <v>1190</v>
      </c>
    </row>
    <row r="30" spans="1:4">
      <c r="A30" s="26">
        <v>1</v>
      </c>
      <c r="B30" s="2" t="s">
        <v>1191</v>
      </c>
    </row>
    <row r="31" spans="1:4">
      <c r="A31" s="7">
        <v>1</v>
      </c>
      <c r="B31" s="2" t="s">
        <v>1192</v>
      </c>
    </row>
    <row r="32" spans="1:4">
      <c r="A32" s="26">
        <v>1</v>
      </c>
      <c r="B32" s="2" t="s">
        <v>1193</v>
      </c>
    </row>
    <row r="33" spans="1:2">
      <c r="A33" s="7">
        <v>1</v>
      </c>
      <c r="B33" s="2" t="s">
        <v>1194</v>
      </c>
    </row>
    <row r="34" spans="1:2" s="7" customFormat="1">
      <c r="A34" s="7">
        <v>1</v>
      </c>
      <c r="B34" s="7" t="s">
        <v>1204</v>
      </c>
    </row>
    <row r="35" spans="1:2">
      <c r="A35" s="7">
        <v>1</v>
      </c>
      <c r="B35" s="2" t="s">
        <v>1195</v>
      </c>
    </row>
    <row r="36" spans="1:2">
      <c r="A36" s="26">
        <v>1</v>
      </c>
      <c r="B36" s="2" t="s">
        <v>1203</v>
      </c>
    </row>
    <row r="37" spans="1:2">
      <c r="A37" s="7">
        <v>1</v>
      </c>
      <c r="B37" s="2" t="s">
        <v>1196</v>
      </c>
    </row>
    <row r="38" spans="1:2">
      <c r="A38" s="26">
        <v>1</v>
      </c>
      <c r="B38" s="2" t="s">
        <v>1197</v>
      </c>
    </row>
    <row r="39" spans="1:2">
      <c r="A39" s="7">
        <v>1</v>
      </c>
      <c r="B39" s="2" t="s">
        <v>1198</v>
      </c>
    </row>
    <row r="40" spans="1:2">
      <c r="A40" s="26">
        <v>1</v>
      </c>
      <c r="B40" s="2" t="s">
        <v>1199</v>
      </c>
    </row>
    <row r="41" spans="1:2">
      <c r="A41" s="7">
        <v>1</v>
      </c>
      <c r="B41" s="2" t="s">
        <v>1200</v>
      </c>
    </row>
    <row r="42" spans="1:2">
      <c r="A42" s="26"/>
    </row>
    <row r="43" spans="1:2">
      <c r="A43" s="7"/>
    </row>
    <row r="44" spans="1:2">
      <c r="A44" s="26"/>
    </row>
    <row r="45" spans="1:2">
      <c r="A45" s="7"/>
    </row>
    <row r="46" spans="1:2">
      <c r="A46" s="26"/>
      <c r="B46" s="7"/>
    </row>
    <row r="47" spans="1:2">
      <c r="A47" s="7"/>
      <c r="B47" s="7"/>
    </row>
    <row r="48" spans="1:2">
      <c r="A48" s="26"/>
      <c r="B48" s="7"/>
    </row>
    <row r="49" spans="1:1">
      <c r="A49" s="7"/>
    </row>
    <row r="50" spans="1:1">
      <c r="A50" s="26"/>
    </row>
    <row r="51" spans="1:1">
      <c r="A51" s="7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00B0F0"/>
    <pageSetUpPr fitToPage="1"/>
  </sheetPr>
  <dimension ref="A1:R19"/>
  <sheetViews>
    <sheetView showGridLines="0" zoomScaleNormal="100" workbookViewId="0">
      <selection activeCell="J14" sqref="J14"/>
    </sheetView>
  </sheetViews>
  <sheetFormatPr defaultRowHeight="12"/>
  <cols>
    <col min="1" max="1" width="9" style="2"/>
    <col min="2" max="9" width="9" style="1"/>
    <col min="10" max="16384" width="9" style="2"/>
  </cols>
  <sheetData>
    <row r="1" spans="1:18" ht="16.5">
      <c r="A1" s="7"/>
      <c r="B1" s="5"/>
      <c r="C1" s="5"/>
      <c r="D1" s="5"/>
      <c r="E1" s="5"/>
      <c r="F1" s="5"/>
      <c r="G1" s="5"/>
      <c r="H1" s="5"/>
      <c r="I1" s="5"/>
      <c r="J1" s="7"/>
      <c r="K1" s="7"/>
      <c r="L1" s="7"/>
      <c r="M1" s="7"/>
      <c r="N1" s="7"/>
      <c r="O1" s="7"/>
      <c r="P1" s="7"/>
      <c r="Q1" s="7"/>
      <c r="R1" s="7"/>
    </row>
    <row r="2" spans="1:18" ht="16.5">
      <c r="A2" s="7"/>
      <c r="B2" s="11" t="s">
        <v>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</row>
    <row r="3" spans="1:18" ht="16.5">
      <c r="A3" s="7"/>
      <c r="B3" s="10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1:18">
      <c r="A4" s="7"/>
      <c r="B4" s="10" t="s">
        <v>7</v>
      </c>
      <c r="C4" s="10"/>
      <c r="D4" s="10"/>
      <c r="E4" s="10"/>
      <c r="F4" s="10"/>
      <c r="G4" s="10"/>
      <c r="H4" s="10"/>
      <c r="I4" s="10"/>
      <c r="J4" s="12"/>
      <c r="K4" s="12"/>
      <c r="L4" s="12"/>
      <c r="M4" s="12"/>
      <c r="N4" s="12"/>
      <c r="O4" s="12"/>
      <c r="P4" s="12"/>
      <c r="Q4" s="12"/>
      <c r="R4" s="12"/>
    </row>
    <row r="5" spans="1:18">
      <c r="A5" s="7"/>
      <c r="B5" s="13">
        <v>1</v>
      </c>
      <c r="C5" s="13">
        <v>0</v>
      </c>
      <c r="D5" s="13">
        <v>0</v>
      </c>
      <c r="E5" s="13">
        <v>0</v>
      </c>
      <c r="F5" s="13">
        <v>0</v>
      </c>
      <c r="G5" s="13">
        <v>0</v>
      </c>
      <c r="H5" s="13">
        <v>0</v>
      </c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ht="36">
      <c r="A6" s="7"/>
      <c r="B6" s="14"/>
      <c r="C6" s="17" t="s">
        <v>8</v>
      </c>
      <c r="D6" s="18"/>
      <c r="E6" s="18"/>
      <c r="F6" s="85" t="s">
        <v>2</v>
      </c>
      <c r="G6" s="86"/>
      <c r="H6" s="87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18">
      <c r="A7" s="7"/>
      <c r="B7" s="16"/>
      <c r="C7" s="16"/>
      <c r="D7" s="16"/>
      <c r="E7" s="8"/>
      <c r="F7" s="16"/>
      <c r="G7" s="16"/>
      <c r="H7" s="16"/>
      <c r="I7" s="16"/>
      <c r="J7" s="12"/>
      <c r="K7" s="12"/>
      <c r="L7" s="12"/>
      <c r="M7" s="12"/>
      <c r="N7" s="12"/>
      <c r="O7" s="12"/>
      <c r="P7" s="12"/>
      <c r="Q7" s="12"/>
      <c r="R7" s="12"/>
    </row>
    <row r="8" spans="1:18" ht="16.5">
      <c r="A8" s="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</row>
    <row r="9" spans="1:18">
      <c r="A9" s="7"/>
      <c r="B9" s="13">
        <v>2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7"/>
      <c r="B10" s="14"/>
      <c r="C10" s="20"/>
      <c r="D10" s="21"/>
      <c r="E10" s="22"/>
      <c r="F10" s="85" t="s">
        <v>2</v>
      </c>
      <c r="G10" s="86"/>
      <c r="H10" s="87"/>
      <c r="I10" s="23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7"/>
      <c r="B11" s="16"/>
      <c r="C11" s="16"/>
      <c r="D11" s="16"/>
      <c r="E11" s="8"/>
      <c r="F11" s="16"/>
      <c r="G11" s="16"/>
      <c r="H11" s="16"/>
      <c r="I11" s="16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7"/>
      <c r="B12" s="6" t="s">
        <v>9</v>
      </c>
      <c r="C12" s="15"/>
      <c r="D12" s="6"/>
      <c r="E12" s="6"/>
      <c r="F12" s="6"/>
      <c r="G12" s="6"/>
      <c r="H12" s="6"/>
      <c r="I12" s="6"/>
      <c r="J12" s="12"/>
      <c r="K12" s="12"/>
      <c r="L12" s="12"/>
      <c r="M12" s="12"/>
      <c r="N12" s="12"/>
      <c r="O12" s="12"/>
      <c r="P12" s="12"/>
      <c r="Q12" s="12"/>
      <c r="R12" s="12"/>
    </row>
    <row r="13" spans="1:18" ht="16.5">
      <c r="A13" s="7"/>
      <c r="B13" s="13">
        <v>3</v>
      </c>
      <c r="C13" s="13">
        <v>0</v>
      </c>
      <c r="D13" s="13">
        <v>0</v>
      </c>
      <c r="E13" s="13">
        <v>1</v>
      </c>
      <c r="F13" s="13">
        <v>0</v>
      </c>
      <c r="G13" s="13">
        <v>0</v>
      </c>
      <c r="H13" s="13">
        <v>0</v>
      </c>
      <c r="I13" s="7"/>
      <c r="J13" s="5"/>
      <c r="K13" s="5"/>
      <c r="L13" s="5"/>
      <c r="M13" s="5"/>
      <c r="N13" s="12"/>
      <c r="O13" s="5"/>
      <c r="P13" s="5"/>
      <c r="Q13" s="5"/>
      <c r="R13" s="5"/>
    </row>
    <row r="14" spans="1:18" ht="96">
      <c r="A14" s="7"/>
      <c r="B14" s="14"/>
      <c r="C14" s="17" t="s">
        <v>8</v>
      </c>
      <c r="D14" s="17" t="s">
        <v>10</v>
      </c>
      <c r="E14" s="18" t="s">
        <v>16</v>
      </c>
      <c r="F14" s="85" t="s">
        <v>2</v>
      </c>
      <c r="G14" s="86"/>
      <c r="H14" s="87"/>
      <c r="I14" s="12"/>
      <c r="J14" s="12"/>
      <c r="K14" s="12"/>
      <c r="L14" s="15"/>
      <c r="M14" s="12"/>
      <c r="N14" s="12"/>
      <c r="O14" s="12"/>
      <c r="P14" s="12"/>
      <c r="Q14" s="12"/>
      <c r="R14" s="12"/>
    </row>
    <row r="15" spans="1:18">
      <c r="A15" s="7"/>
      <c r="B15" s="16"/>
      <c r="C15" s="16"/>
      <c r="D15" s="16"/>
      <c r="E15" s="8"/>
      <c r="F15" s="16"/>
      <c r="G15" s="16"/>
      <c r="H15" s="16"/>
      <c r="I15" s="16"/>
      <c r="J15" s="12"/>
      <c r="K15" s="12"/>
      <c r="L15" s="12"/>
      <c r="M15" s="12"/>
      <c r="N15" s="19"/>
      <c r="O15" s="12"/>
      <c r="P15" s="12"/>
      <c r="Q15" s="12"/>
      <c r="R15" s="12"/>
    </row>
    <row r="16" spans="1:18">
      <c r="A16" s="7"/>
      <c r="B16" s="6" t="s">
        <v>17</v>
      </c>
      <c r="C16" s="6"/>
      <c r="D16" s="6"/>
      <c r="E16" s="6"/>
      <c r="F16" s="6"/>
      <c r="G16" s="6"/>
      <c r="H16" s="6"/>
      <c r="I16" s="6"/>
      <c r="J16" s="12"/>
      <c r="K16" s="12"/>
      <c r="L16" s="12"/>
      <c r="M16" s="12"/>
      <c r="N16" s="7"/>
      <c r="O16" s="7"/>
      <c r="P16" s="7"/>
      <c r="Q16" s="7"/>
      <c r="R16" s="7"/>
    </row>
    <row r="17" spans="1:18">
      <c r="A17" s="7"/>
      <c r="B17" s="13">
        <v>4</v>
      </c>
      <c r="C17" s="13">
        <v>0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2"/>
      <c r="J17" s="12"/>
      <c r="K17" s="12"/>
      <c r="L17" s="7"/>
      <c r="M17" s="7"/>
      <c r="N17" s="7"/>
      <c r="O17" s="7"/>
      <c r="P17" s="7"/>
      <c r="Q17" s="7"/>
      <c r="R17" s="7"/>
    </row>
    <row r="18" spans="1:18" ht="36">
      <c r="A18" s="7"/>
      <c r="B18" s="14"/>
      <c r="C18" s="17" t="s">
        <v>8</v>
      </c>
      <c r="D18" s="24"/>
      <c r="E18" s="24"/>
      <c r="F18" s="85" t="s">
        <v>2</v>
      </c>
      <c r="G18" s="86"/>
      <c r="H18" s="87"/>
      <c r="I18" s="88"/>
      <c r="J18" s="88"/>
      <c r="K18" s="9"/>
      <c r="L18" s="9"/>
      <c r="M18" s="9"/>
      <c r="N18" s="9"/>
      <c r="O18" s="5"/>
      <c r="P18" s="5"/>
      <c r="Q18" s="5"/>
      <c r="R18" s="7"/>
    </row>
    <row r="19" spans="1:18" ht="16.5">
      <c r="A19" s="7"/>
      <c r="B19" s="16"/>
      <c r="C19" s="16"/>
      <c r="D19" s="16"/>
      <c r="E19" s="8"/>
      <c r="F19" s="16"/>
      <c r="G19" s="16"/>
      <c r="H19" s="16"/>
      <c r="I19" s="16"/>
      <c r="J19" s="5"/>
      <c r="K19" s="5"/>
      <c r="L19" s="5"/>
      <c r="M19" s="5"/>
      <c r="N19" s="5"/>
      <c r="O19" s="5"/>
      <c r="P19" s="5"/>
      <c r="Q19" s="5"/>
      <c r="R19" s="7"/>
    </row>
  </sheetData>
  <mergeCells count="5">
    <mergeCell ref="F6:H6"/>
    <mergeCell ref="I18:J18"/>
    <mergeCell ref="F14:H14"/>
    <mergeCell ref="F10:H10"/>
    <mergeCell ref="F18:H1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57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B2:C11"/>
  <sheetViews>
    <sheetView workbookViewId="0">
      <selection activeCell="C16" sqref="C16"/>
    </sheetView>
  </sheetViews>
  <sheetFormatPr defaultRowHeight="16.5"/>
  <cols>
    <col min="2" max="2" width="10.5" bestFit="1" customWidth="1"/>
    <col min="3" max="3" width="11.125" bestFit="1" customWidth="1"/>
  </cols>
  <sheetData>
    <row r="2" spans="2:3" s="25" customFormat="1">
      <c r="B2" s="25" t="s">
        <v>34</v>
      </c>
    </row>
    <row r="3" spans="2:3">
      <c r="B3" s="28" t="s">
        <v>11</v>
      </c>
      <c r="C3" s="28" t="s">
        <v>12</v>
      </c>
    </row>
    <row r="4" spans="2:3">
      <c r="B4" s="30" t="s">
        <v>18</v>
      </c>
      <c r="C4" s="29" t="s">
        <v>26</v>
      </c>
    </row>
    <row r="5" spans="2:3">
      <c r="B5" s="30" t="s">
        <v>19</v>
      </c>
      <c r="C5" s="29" t="s">
        <v>27</v>
      </c>
    </row>
    <row r="6" spans="2:3">
      <c r="B6" s="30" t="s">
        <v>20</v>
      </c>
      <c r="C6" s="29" t="s">
        <v>28</v>
      </c>
    </row>
    <row r="7" spans="2:3">
      <c r="B7" s="30" t="s">
        <v>21</v>
      </c>
      <c r="C7" s="29" t="s">
        <v>29</v>
      </c>
    </row>
    <row r="8" spans="2:3">
      <c r="B8" s="30" t="s">
        <v>22</v>
      </c>
      <c r="C8" s="27" t="s">
        <v>30</v>
      </c>
    </row>
    <row r="9" spans="2:3">
      <c r="B9" s="30" t="s">
        <v>23</v>
      </c>
      <c r="C9" s="27" t="s">
        <v>31</v>
      </c>
    </row>
    <row r="10" spans="2:3">
      <c r="B10" s="30" t="s">
        <v>24</v>
      </c>
      <c r="C10" s="27" t="s">
        <v>32</v>
      </c>
    </row>
    <row r="11" spans="2:3">
      <c r="B11" s="30" t="s">
        <v>25</v>
      </c>
      <c r="C11" s="27" t="s">
        <v>33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B2:E40"/>
  <sheetViews>
    <sheetView workbookViewId="0">
      <selection activeCell="D50" sqref="D50"/>
    </sheetView>
  </sheetViews>
  <sheetFormatPr defaultRowHeight="16.5"/>
  <cols>
    <col min="2" max="2" width="6.125" style="37" customWidth="1"/>
    <col min="3" max="3" width="30.75" bestFit="1" customWidth="1"/>
    <col min="4" max="4" width="71.375" style="48" bestFit="1" customWidth="1"/>
    <col min="5" max="5" width="19.5" customWidth="1"/>
  </cols>
  <sheetData>
    <row r="2" spans="2:5">
      <c r="B2" s="36" t="s">
        <v>113</v>
      </c>
      <c r="C2" s="36" t="s">
        <v>114</v>
      </c>
      <c r="D2" s="39" t="s">
        <v>1164</v>
      </c>
      <c r="E2" s="36" t="s">
        <v>115</v>
      </c>
    </row>
    <row r="3" spans="2:5">
      <c r="B3" s="36">
        <v>1</v>
      </c>
      <c r="C3" s="40" t="s">
        <v>74</v>
      </c>
      <c r="D3" s="40" t="s">
        <v>1165</v>
      </c>
      <c r="E3" s="41">
        <v>43056</v>
      </c>
    </row>
    <row r="4" spans="2:5">
      <c r="B4" s="36">
        <v>2</v>
      </c>
      <c r="C4" s="40" t="s">
        <v>75</v>
      </c>
      <c r="D4" s="40" t="s">
        <v>1166</v>
      </c>
      <c r="E4" s="35"/>
    </row>
    <row r="5" spans="2:5">
      <c r="B5" s="39">
        <v>3</v>
      </c>
      <c r="C5" s="40" t="s">
        <v>76</v>
      </c>
      <c r="D5" s="40" t="s">
        <v>1167</v>
      </c>
      <c r="E5" s="35"/>
    </row>
    <row r="6" spans="2:5">
      <c r="B6" s="79">
        <v>4</v>
      </c>
      <c r="C6" s="40" t="s">
        <v>77</v>
      </c>
      <c r="D6" s="40" t="s">
        <v>1168</v>
      </c>
      <c r="E6" s="35"/>
    </row>
    <row r="7" spans="2:5">
      <c r="B7" s="79">
        <v>5</v>
      </c>
      <c r="C7" s="40" t="s">
        <v>78</v>
      </c>
      <c r="D7" s="40" t="s">
        <v>1169</v>
      </c>
      <c r="E7" s="35"/>
    </row>
    <row r="8" spans="2:5">
      <c r="B8" s="79">
        <v>6</v>
      </c>
      <c r="C8" s="40" t="s">
        <v>79</v>
      </c>
      <c r="D8" s="40" t="s">
        <v>1170</v>
      </c>
      <c r="E8" s="35"/>
    </row>
    <row r="9" spans="2:5">
      <c r="B9" s="79">
        <v>7</v>
      </c>
      <c r="C9" s="40" t="s">
        <v>80</v>
      </c>
      <c r="D9" s="40" t="s">
        <v>1171</v>
      </c>
      <c r="E9" s="35"/>
    </row>
    <row r="10" spans="2:5">
      <c r="B10" s="79">
        <v>8</v>
      </c>
      <c r="C10" s="40" t="s">
        <v>81</v>
      </c>
      <c r="D10" s="40" t="s">
        <v>1206</v>
      </c>
      <c r="E10" s="35"/>
    </row>
    <row r="11" spans="2:5">
      <c r="B11" s="79">
        <v>9</v>
      </c>
      <c r="C11" s="40" t="s">
        <v>82</v>
      </c>
      <c r="D11" s="40" t="s">
        <v>1207</v>
      </c>
      <c r="E11" s="35"/>
    </row>
    <row r="12" spans="2:5">
      <c r="B12" s="79">
        <v>10</v>
      </c>
      <c r="C12" s="40" t="s">
        <v>83</v>
      </c>
      <c r="D12" s="40" t="s">
        <v>1208</v>
      </c>
      <c r="E12" s="35"/>
    </row>
    <row r="13" spans="2:5">
      <c r="B13" s="79">
        <v>11</v>
      </c>
      <c r="C13" s="40" t="s">
        <v>84</v>
      </c>
      <c r="D13" s="40" t="s">
        <v>1210</v>
      </c>
      <c r="E13" s="35"/>
    </row>
    <row r="14" spans="2:5">
      <c r="B14" s="79">
        <v>12</v>
      </c>
      <c r="C14" s="40" t="s">
        <v>85</v>
      </c>
      <c r="D14" s="40" t="s">
        <v>1209</v>
      </c>
      <c r="E14" s="35"/>
    </row>
    <row r="15" spans="2:5">
      <c r="B15" s="79">
        <v>13</v>
      </c>
      <c r="C15" s="40" t="s">
        <v>86</v>
      </c>
      <c r="D15" s="40" t="s">
        <v>1211</v>
      </c>
      <c r="E15" s="35"/>
    </row>
    <row r="16" spans="2:5">
      <c r="B16" s="79">
        <v>14</v>
      </c>
      <c r="C16" s="40" t="s">
        <v>87</v>
      </c>
      <c r="D16" s="40" t="s">
        <v>1212</v>
      </c>
      <c r="E16" s="35"/>
    </row>
    <row r="17" spans="2:5">
      <c r="B17" s="79">
        <v>15</v>
      </c>
      <c r="C17" s="40" t="s">
        <v>88</v>
      </c>
      <c r="D17" s="40" t="s">
        <v>1213</v>
      </c>
      <c r="E17" s="35"/>
    </row>
    <row r="18" spans="2:5">
      <c r="B18" s="79">
        <v>16</v>
      </c>
      <c r="C18" s="40" t="s">
        <v>89</v>
      </c>
      <c r="D18" s="40" t="s">
        <v>1214</v>
      </c>
      <c r="E18" s="35"/>
    </row>
    <row r="19" spans="2:5">
      <c r="B19" s="79">
        <v>17</v>
      </c>
      <c r="C19" s="40" t="s">
        <v>90</v>
      </c>
      <c r="D19" s="40" t="s">
        <v>1215</v>
      </c>
      <c r="E19" s="35"/>
    </row>
    <row r="20" spans="2:5">
      <c r="B20" s="79">
        <v>18</v>
      </c>
      <c r="C20" s="40" t="s">
        <v>91</v>
      </c>
      <c r="D20" s="40" t="s">
        <v>1216</v>
      </c>
      <c r="E20" s="35"/>
    </row>
    <row r="21" spans="2:5">
      <c r="B21" s="79">
        <v>19</v>
      </c>
      <c r="C21" s="40" t="s">
        <v>92</v>
      </c>
      <c r="D21" s="40" t="s">
        <v>1217</v>
      </c>
      <c r="E21" s="35"/>
    </row>
    <row r="22" spans="2:5">
      <c r="B22" s="79">
        <v>20</v>
      </c>
      <c r="C22" s="40" t="s">
        <v>93</v>
      </c>
      <c r="D22" s="40" t="s">
        <v>1218</v>
      </c>
      <c r="E22" s="35"/>
    </row>
    <row r="23" spans="2:5">
      <c r="B23" s="79">
        <v>21</v>
      </c>
      <c r="C23" s="40" t="s">
        <v>94</v>
      </c>
      <c r="D23" s="40" t="s">
        <v>1219</v>
      </c>
      <c r="E23" s="35"/>
    </row>
    <row r="24" spans="2:5">
      <c r="B24" s="79">
        <v>22</v>
      </c>
      <c r="C24" s="40" t="s">
        <v>95</v>
      </c>
      <c r="D24" s="40" t="s">
        <v>1220</v>
      </c>
      <c r="E24" s="35"/>
    </row>
    <row r="25" spans="2:5">
      <c r="B25" s="79">
        <v>23</v>
      </c>
      <c r="C25" s="40" t="s">
        <v>96</v>
      </c>
      <c r="D25" s="40" t="s">
        <v>1221</v>
      </c>
      <c r="E25" s="35"/>
    </row>
    <row r="26" spans="2:5">
      <c r="B26" s="79">
        <v>24</v>
      </c>
      <c r="C26" s="40" t="s">
        <v>97</v>
      </c>
      <c r="D26" s="40" t="s">
        <v>1222</v>
      </c>
      <c r="E26" s="35"/>
    </row>
    <row r="27" spans="2:5">
      <c r="B27" s="79">
        <v>25</v>
      </c>
      <c r="C27" s="40" t="s">
        <v>98</v>
      </c>
      <c r="D27" s="40" t="s">
        <v>1223</v>
      </c>
      <c r="E27" s="35"/>
    </row>
    <row r="28" spans="2:5">
      <c r="B28" s="79">
        <v>26</v>
      </c>
      <c r="C28" s="40" t="s">
        <v>99</v>
      </c>
      <c r="D28" s="40" t="s">
        <v>1224</v>
      </c>
      <c r="E28" s="35"/>
    </row>
    <row r="29" spans="2:5">
      <c r="B29" s="79">
        <v>27</v>
      </c>
      <c r="C29" s="40" t="s">
        <v>100</v>
      </c>
      <c r="D29" s="40" t="s">
        <v>1225</v>
      </c>
      <c r="E29" s="35"/>
    </row>
    <row r="30" spans="2:5">
      <c r="B30" s="79">
        <v>28</v>
      </c>
      <c r="C30" s="40" t="s">
        <v>101</v>
      </c>
      <c r="D30" s="40" t="s">
        <v>1226</v>
      </c>
      <c r="E30" s="35"/>
    </row>
    <row r="31" spans="2:5">
      <c r="B31" s="79">
        <v>29</v>
      </c>
      <c r="C31" s="40" t="s">
        <v>102</v>
      </c>
      <c r="D31" s="40" t="s">
        <v>1228</v>
      </c>
      <c r="E31" s="35"/>
    </row>
    <row r="32" spans="2:5">
      <c r="B32" s="79">
        <v>30</v>
      </c>
      <c r="C32" s="40" t="s">
        <v>103</v>
      </c>
      <c r="D32" s="40" t="s">
        <v>1227</v>
      </c>
      <c r="E32" s="35"/>
    </row>
    <row r="33" spans="2:5">
      <c r="B33" s="79">
        <v>31</v>
      </c>
      <c r="C33" s="40" t="s">
        <v>104</v>
      </c>
      <c r="D33" s="40" t="s">
        <v>1229</v>
      </c>
      <c r="E33" s="35"/>
    </row>
    <row r="34" spans="2:5">
      <c r="B34" s="79">
        <v>32</v>
      </c>
      <c r="C34" s="40" t="s">
        <v>105</v>
      </c>
      <c r="D34" s="40" t="s">
        <v>1230</v>
      </c>
      <c r="E34" s="35"/>
    </row>
    <row r="35" spans="2:5">
      <c r="B35" s="79">
        <v>33</v>
      </c>
      <c r="C35" s="40" t="s">
        <v>106</v>
      </c>
      <c r="D35" s="40" t="s">
        <v>1231</v>
      </c>
      <c r="E35" s="35"/>
    </row>
    <row r="36" spans="2:5">
      <c r="B36" s="79">
        <v>34</v>
      </c>
      <c r="C36" s="40" t="s">
        <v>107</v>
      </c>
      <c r="D36" s="40" t="s">
        <v>1232</v>
      </c>
      <c r="E36" s="35"/>
    </row>
    <row r="37" spans="2:5">
      <c r="B37" s="79">
        <v>35</v>
      </c>
      <c r="C37" s="40" t="s">
        <v>1100</v>
      </c>
      <c r="D37" s="40" t="s">
        <v>1233</v>
      </c>
      <c r="E37" s="35"/>
    </row>
    <row r="38" spans="2:5">
      <c r="B38" s="79">
        <v>36</v>
      </c>
      <c r="C38" s="40" t="s">
        <v>108</v>
      </c>
      <c r="D38" s="40" t="s">
        <v>1234</v>
      </c>
      <c r="E38" s="35"/>
    </row>
    <row r="39" spans="2:5">
      <c r="B39" s="79">
        <v>37</v>
      </c>
      <c r="C39" s="40" t="s">
        <v>109</v>
      </c>
      <c r="D39" s="40" t="s">
        <v>1235</v>
      </c>
      <c r="E39" s="35"/>
    </row>
    <row r="40" spans="2:5">
      <c r="B40" s="79">
        <v>38</v>
      </c>
      <c r="C40" s="40" t="s">
        <v>110</v>
      </c>
      <c r="D40" s="40" t="s">
        <v>1236</v>
      </c>
      <c r="E40" s="35"/>
    </row>
  </sheetData>
  <phoneticPr fontId="3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H481"/>
  <sheetViews>
    <sheetView topLeftCell="A430" workbookViewId="0">
      <selection activeCell="G414" sqref="G414"/>
    </sheetView>
  </sheetViews>
  <sheetFormatPr defaultRowHeight="16.5"/>
  <cols>
    <col min="3" max="3" width="30.75" bestFit="1" customWidth="1"/>
    <col min="4" max="4" width="33.375" bestFit="1" customWidth="1"/>
    <col min="7" max="7" width="9" style="48"/>
    <col min="8" max="8" width="92.5" bestFit="1" customWidth="1"/>
  </cols>
  <sheetData>
    <row r="2" spans="2:8">
      <c r="B2" s="34" t="s">
        <v>113</v>
      </c>
      <c r="C2" s="34" t="s">
        <v>757</v>
      </c>
      <c r="D2" s="34" t="s">
        <v>758</v>
      </c>
      <c r="E2" s="34" t="s">
        <v>759</v>
      </c>
      <c r="F2" s="34" t="s">
        <v>760</v>
      </c>
      <c r="G2" s="34" t="s">
        <v>1240</v>
      </c>
      <c r="H2" s="34" t="s">
        <v>465</v>
      </c>
    </row>
    <row r="3" spans="2:8">
      <c r="B3" s="89">
        <v>1</v>
      </c>
      <c r="C3" s="89" t="s">
        <v>74</v>
      </c>
      <c r="D3" s="68" t="s">
        <v>756</v>
      </c>
      <c r="E3" s="69"/>
      <c r="F3" s="70"/>
      <c r="G3" s="81"/>
      <c r="H3" s="46" t="s">
        <v>35</v>
      </c>
    </row>
    <row r="4" spans="2:8">
      <c r="B4" s="89"/>
      <c r="C4" s="89"/>
      <c r="D4" s="68" t="s">
        <v>761</v>
      </c>
      <c r="E4" s="69"/>
      <c r="F4" s="70"/>
      <c r="G4" s="81"/>
      <c r="H4" s="46" t="s">
        <v>37</v>
      </c>
    </row>
    <row r="5" spans="2:8">
      <c r="B5" s="89"/>
      <c r="C5" s="89"/>
      <c r="D5" s="68" t="s">
        <v>762</v>
      </c>
      <c r="E5" s="69"/>
      <c r="F5" s="70"/>
      <c r="G5" s="81"/>
      <c r="H5" s="46" t="s">
        <v>39</v>
      </c>
    </row>
    <row r="6" spans="2:8">
      <c r="B6" s="89"/>
      <c r="C6" s="89"/>
      <c r="D6" s="68" t="s">
        <v>763</v>
      </c>
      <c r="E6" s="69"/>
      <c r="F6" s="70"/>
      <c r="G6" s="81"/>
      <c r="H6" s="46" t="s">
        <v>41</v>
      </c>
    </row>
    <row r="7" spans="2:8">
      <c r="B7" s="89"/>
      <c r="C7" s="89"/>
      <c r="D7" s="68" t="s">
        <v>764</v>
      </c>
      <c r="E7" s="69"/>
      <c r="F7" s="70"/>
      <c r="G7" s="81"/>
      <c r="H7" s="46" t="s">
        <v>765</v>
      </c>
    </row>
    <row r="8" spans="2:8">
      <c r="B8" s="89"/>
      <c r="C8" s="89"/>
      <c r="D8" s="68" t="s">
        <v>766</v>
      </c>
      <c r="E8" s="69"/>
      <c r="F8" s="70"/>
      <c r="G8" s="81"/>
      <c r="H8" s="46" t="s">
        <v>767</v>
      </c>
    </row>
    <row r="9" spans="2:8">
      <c r="B9" s="89"/>
      <c r="C9" s="89"/>
      <c r="D9" s="68" t="s">
        <v>768</v>
      </c>
      <c r="E9" s="69"/>
      <c r="F9" s="70"/>
      <c r="G9" s="81"/>
      <c r="H9" s="46" t="s">
        <v>769</v>
      </c>
    </row>
    <row r="10" spans="2:8">
      <c r="B10" s="89"/>
      <c r="C10" s="89"/>
      <c r="D10" s="68" t="s">
        <v>770</v>
      </c>
      <c r="E10" s="69"/>
      <c r="F10" s="70"/>
      <c r="G10" s="81"/>
      <c r="H10" s="46" t="s">
        <v>769</v>
      </c>
    </row>
    <row r="11" spans="2:8">
      <c r="B11" s="89"/>
      <c r="C11" s="89"/>
      <c r="D11" s="68" t="s">
        <v>771</v>
      </c>
      <c r="E11" s="69"/>
      <c r="F11" s="70"/>
      <c r="G11" s="81"/>
      <c r="H11" s="46" t="s">
        <v>772</v>
      </c>
    </row>
    <row r="12" spans="2:8">
      <c r="B12" s="89"/>
      <c r="C12" s="89"/>
      <c r="D12" s="68" t="s">
        <v>773</v>
      </c>
      <c r="E12" s="69"/>
      <c r="F12" s="70"/>
      <c r="G12" s="81"/>
      <c r="H12" s="46" t="s">
        <v>774</v>
      </c>
    </row>
    <row r="13" spans="2:8">
      <c r="B13" s="89"/>
      <c r="C13" s="89"/>
      <c r="D13" s="68" t="s">
        <v>775</v>
      </c>
      <c r="E13" s="69"/>
      <c r="F13" s="70"/>
      <c r="G13" s="81"/>
      <c r="H13" s="46" t="s">
        <v>776</v>
      </c>
    </row>
    <row r="14" spans="2:8">
      <c r="B14" s="89"/>
      <c r="C14" s="89"/>
      <c r="D14" s="68" t="s">
        <v>777</v>
      </c>
      <c r="E14" s="69"/>
      <c r="F14" s="70"/>
      <c r="G14" s="81"/>
      <c r="H14" s="46" t="s">
        <v>778</v>
      </c>
    </row>
    <row r="15" spans="2:8">
      <c r="B15" s="89"/>
      <c r="C15" s="89"/>
      <c r="D15" s="68" t="s">
        <v>779</v>
      </c>
      <c r="E15" s="69"/>
      <c r="F15" s="70"/>
      <c r="G15" s="81"/>
      <c r="H15" s="46" t="s">
        <v>780</v>
      </c>
    </row>
    <row r="16" spans="2:8">
      <c r="B16" s="89"/>
      <c r="C16" s="89"/>
      <c r="D16" s="68" t="s">
        <v>781</v>
      </c>
      <c r="E16" s="69"/>
      <c r="F16" s="70"/>
      <c r="G16" s="81"/>
      <c r="H16" s="46" t="s">
        <v>782</v>
      </c>
    </row>
    <row r="17" spans="2:8" ht="33">
      <c r="B17" s="89">
        <v>2</v>
      </c>
      <c r="C17" s="89" t="s">
        <v>75</v>
      </c>
      <c r="D17" s="68" t="s">
        <v>783</v>
      </c>
      <c r="E17" s="69"/>
      <c r="F17" s="70"/>
      <c r="G17" s="81"/>
      <c r="H17" s="54" t="s">
        <v>784</v>
      </c>
    </row>
    <row r="18" spans="2:8" ht="33">
      <c r="B18" s="89"/>
      <c r="C18" s="89"/>
      <c r="D18" s="68" t="s">
        <v>785</v>
      </c>
      <c r="E18" s="69"/>
      <c r="F18" s="70"/>
      <c r="G18" s="81"/>
      <c r="H18" s="54" t="s">
        <v>786</v>
      </c>
    </row>
    <row r="19" spans="2:8">
      <c r="B19" s="89">
        <v>3</v>
      </c>
      <c r="C19" s="89" t="s">
        <v>76</v>
      </c>
      <c r="D19" s="68" t="s">
        <v>755</v>
      </c>
      <c r="E19" s="69"/>
      <c r="F19" s="70"/>
      <c r="G19" s="81"/>
      <c r="H19" s="54" t="s">
        <v>787</v>
      </c>
    </row>
    <row r="20" spans="2:8">
      <c r="B20" s="89"/>
      <c r="C20" s="89"/>
      <c r="D20" s="68" t="s">
        <v>465</v>
      </c>
      <c r="E20" s="48"/>
      <c r="F20" s="48"/>
      <c r="G20" s="82"/>
      <c r="H20" s="54" t="s">
        <v>788</v>
      </c>
    </row>
    <row r="21" spans="2:8">
      <c r="B21" s="89"/>
      <c r="C21" s="89"/>
      <c r="D21" s="68" t="s">
        <v>789</v>
      </c>
      <c r="E21" s="69"/>
      <c r="F21" s="70"/>
      <c r="G21" s="81"/>
      <c r="H21" s="54" t="s">
        <v>790</v>
      </c>
    </row>
    <row r="22" spans="2:8">
      <c r="B22" s="89"/>
      <c r="C22" s="89"/>
      <c r="D22" s="68" t="s">
        <v>791</v>
      </c>
      <c r="E22" s="71"/>
      <c r="F22" s="70"/>
      <c r="G22" s="81"/>
      <c r="H22" s="54" t="s">
        <v>792</v>
      </c>
    </row>
    <row r="23" spans="2:8">
      <c r="B23" s="89"/>
      <c r="C23" s="89"/>
      <c r="D23" s="68" t="s">
        <v>793</v>
      </c>
      <c r="E23" s="71"/>
      <c r="F23" s="70"/>
      <c r="G23" s="81"/>
      <c r="H23" s="54" t="s">
        <v>794</v>
      </c>
    </row>
    <row r="24" spans="2:8">
      <c r="B24" s="89">
        <v>4</v>
      </c>
      <c r="C24" s="89" t="s">
        <v>77</v>
      </c>
      <c r="D24" s="68" t="s">
        <v>116</v>
      </c>
      <c r="E24" s="69"/>
      <c r="F24" s="70"/>
      <c r="G24" s="81"/>
      <c r="H24" s="46" t="s">
        <v>795</v>
      </c>
    </row>
    <row r="25" spans="2:8">
      <c r="B25" s="89"/>
      <c r="C25" s="89"/>
      <c r="D25" s="68" t="s">
        <v>117</v>
      </c>
      <c r="E25" s="69"/>
      <c r="F25" s="70"/>
      <c r="G25" s="81"/>
      <c r="H25" s="46" t="s">
        <v>796</v>
      </c>
    </row>
    <row r="26" spans="2:8">
      <c r="B26" s="89"/>
      <c r="C26" s="89"/>
      <c r="D26" s="68" t="s">
        <v>118</v>
      </c>
      <c r="E26" s="69"/>
      <c r="F26" s="70"/>
      <c r="G26" s="81"/>
      <c r="H26" s="46" t="s">
        <v>797</v>
      </c>
    </row>
    <row r="27" spans="2:8">
      <c r="B27" s="89">
        <v>5</v>
      </c>
      <c r="C27" s="89" t="s">
        <v>78</v>
      </c>
      <c r="D27" s="68" t="s">
        <v>0</v>
      </c>
      <c r="E27" s="69"/>
      <c r="F27" s="70"/>
      <c r="G27" s="81"/>
      <c r="H27" s="46" t="s">
        <v>798</v>
      </c>
    </row>
    <row r="28" spans="2:8">
      <c r="B28" s="89"/>
      <c r="C28" s="89"/>
      <c r="D28" s="68" t="s">
        <v>119</v>
      </c>
      <c r="E28" s="69"/>
      <c r="F28" s="70"/>
      <c r="G28" s="81"/>
      <c r="H28" s="46" t="s">
        <v>799</v>
      </c>
    </row>
    <row r="29" spans="2:8">
      <c r="B29" s="89"/>
      <c r="C29" s="89"/>
      <c r="D29" s="68" t="s">
        <v>120</v>
      </c>
      <c r="E29" s="69"/>
      <c r="F29" s="70"/>
      <c r="G29" s="81"/>
      <c r="H29" s="46" t="s">
        <v>800</v>
      </c>
    </row>
    <row r="30" spans="2:8">
      <c r="B30" s="89"/>
      <c r="C30" s="89"/>
      <c r="D30" s="68" t="s">
        <v>121</v>
      </c>
      <c r="E30" s="69"/>
      <c r="F30" s="70"/>
      <c r="G30" s="81"/>
      <c r="H30" s="46" t="s">
        <v>801</v>
      </c>
    </row>
    <row r="31" spans="2:8">
      <c r="B31" s="89"/>
      <c r="C31" s="89"/>
      <c r="D31" s="68" t="s">
        <v>802</v>
      </c>
      <c r="E31" s="69"/>
      <c r="F31" s="70"/>
      <c r="G31" s="81"/>
      <c r="H31" s="46" t="s">
        <v>803</v>
      </c>
    </row>
    <row r="32" spans="2:8">
      <c r="B32" s="89"/>
      <c r="C32" s="89"/>
      <c r="D32" s="68" t="s">
        <v>60</v>
      </c>
      <c r="E32" s="46"/>
      <c r="F32" s="48"/>
      <c r="G32" s="82"/>
      <c r="H32" s="46" t="s">
        <v>804</v>
      </c>
    </row>
    <row r="33" spans="2:8">
      <c r="B33" s="89"/>
      <c r="C33" s="89"/>
      <c r="D33" s="68" t="s">
        <v>583</v>
      </c>
      <c r="E33" s="46"/>
      <c r="F33" s="70"/>
      <c r="G33" s="81"/>
      <c r="H33" s="46" t="s">
        <v>805</v>
      </c>
    </row>
    <row r="34" spans="2:8">
      <c r="B34" s="89">
        <v>6</v>
      </c>
      <c r="C34" s="89" t="s">
        <v>806</v>
      </c>
      <c r="D34" s="68" t="s">
        <v>139</v>
      </c>
      <c r="E34" s="69"/>
      <c r="F34" s="70"/>
      <c r="G34" s="81"/>
      <c r="H34" s="46" t="s">
        <v>807</v>
      </c>
    </row>
    <row r="35" spans="2:8">
      <c r="B35" s="89"/>
      <c r="C35" s="89"/>
      <c r="D35" s="68" t="s">
        <v>140</v>
      </c>
      <c r="E35" s="69"/>
      <c r="F35" s="70"/>
      <c r="G35" s="81"/>
      <c r="H35" s="46" t="s">
        <v>808</v>
      </c>
    </row>
    <row r="36" spans="2:8">
      <c r="B36" s="89"/>
      <c r="C36" s="89"/>
      <c r="D36" s="68" t="s">
        <v>141</v>
      </c>
      <c r="E36" s="69"/>
      <c r="F36" s="70"/>
      <c r="G36" s="81"/>
      <c r="H36" s="46" t="s">
        <v>809</v>
      </c>
    </row>
    <row r="37" spans="2:8">
      <c r="B37" s="89">
        <v>7</v>
      </c>
      <c r="C37" s="89" t="s">
        <v>80</v>
      </c>
      <c r="D37" s="68" t="s">
        <v>142</v>
      </c>
      <c r="E37" s="69"/>
      <c r="F37" s="70"/>
      <c r="G37" s="81"/>
      <c r="H37" s="46" t="s">
        <v>810</v>
      </c>
    </row>
    <row r="38" spans="2:8">
      <c r="B38" s="89"/>
      <c r="C38" s="89"/>
      <c r="D38" s="68" t="s">
        <v>141</v>
      </c>
      <c r="E38" s="69"/>
      <c r="F38" s="70"/>
      <c r="G38" s="81"/>
      <c r="H38" s="46" t="s">
        <v>811</v>
      </c>
    </row>
    <row r="39" spans="2:8">
      <c r="B39" s="89">
        <v>8</v>
      </c>
      <c r="C39" s="89" t="s">
        <v>812</v>
      </c>
      <c r="D39" s="68" t="s">
        <v>143</v>
      </c>
      <c r="E39" s="69"/>
      <c r="F39" s="70"/>
      <c r="G39" s="81"/>
      <c r="H39" s="46" t="s">
        <v>813</v>
      </c>
    </row>
    <row r="40" spans="2:8">
      <c r="B40" s="89"/>
      <c r="C40" s="89"/>
      <c r="D40" s="68" t="s">
        <v>144</v>
      </c>
      <c r="E40" s="69"/>
      <c r="F40" s="70"/>
      <c r="G40" s="81"/>
      <c r="H40" s="46" t="s">
        <v>814</v>
      </c>
    </row>
    <row r="41" spans="2:8">
      <c r="B41" s="89"/>
      <c r="C41" s="89"/>
      <c r="D41" s="68" t="s">
        <v>145</v>
      </c>
      <c r="E41" s="69"/>
      <c r="F41" s="70"/>
      <c r="G41" s="81"/>
      <c r="H41" s="46" t="s">
        <v>815</v>
      </c>
    </row>
    <row r="42" spans="2:8">
      <c r="B42" s="89"/>
      <c r="C42" s="89"/>
      <c r="D42" s="68" t="s">
        <v>146</v>
      </c>
      <c r="E42" s="69"/>
      <c r="F42" s="70"/>
      <c r="G42" s="81"/>
      <c r="H42" s="46" t="s">
        <v>816</v>
      </c>
    </row>
    <row r="43" spans="2:8">
      <c r="B43" s="89"/>
      <c r="C43" s="89"/>
      <c r="D43" s="68" t="s">
        <v>147</v>
      </c>
      <c r="E43" s="69"/>
      <c r="F43" s="70"/>
      <c r="G43" s="81"/>
      <c r="H43" s="46" t="s">
        <v>817</v>
      </c>
    </row>
    <row r="44" spans="2:8">
      <c r="B44" s="89"/>
      <c r="C44" s="89"/>
      <c r="D44" s="68" t="s">
        <v>148</v>
      </c>
      <c r="E44" s="69"/>
      <c r="F44" s="70"/>
      <c r="G44" s="81"/>
      <c r="H44" s="46" t="s">
        <v>818</v>
      </c>
    </row>
    <row r="45" spans="2:8">
      <c r="B45" s="89"/>
      <c r="C45" s="89"/>
      <c r="D45" s="68" t="s">
        <v>149</v>
      </c>
      <c r="E45" s="69"/>
      <c r="F45" s="70"/>
      <c r="G45" s="81"/>
      <c r="H45" s="46" t="s">
        <v>819</v>
      </c>
    </row>
    <row r="46" spans="2:8">
      <c r="B46" s="89">
        <v>9</v>
      </c>
      <c r="C46" s="89" t="s">
        <v>82</v>
      </c>
      <c r="D46" s="68" t="s">
        <v>151</v>
      </c>
      <c r="E46" s="69"/>
      <c r="F46" s="70"/>
      <c r="G46" s="81"/>
      <c r="H46" s="46" t="s">
        <v>820</v>
      </c>
    </row>
    <row r="47" spans="2:8">
      <c r="B47" s="89"/>
      <c r="C47" s="89"/>
      <c r="D47" s="68" t="s">
        <v>152</v>
      </c>
      <c r="E47" s="69"/>
      <c r="F47" s="70"/>
      <c r="G47" s="81"/>
      <c r="H47" s="46" t="s">
        <v>821</v>
      </c>
    </row>
    <row r="48" spans="2:8">
      <c r="B48" s="89">
        <v>10</v>
      </c>
      <c r="C48" s="89" t="s">
        <v>83</v>
      </c>
      <c r="D48" s="68" t="s">
        <v>153</v>
      </c>
      <c r="E48" s="69"/>
      <c r="F48" s="70"/>
      <c r="G48" s="81"/>
      <c r="H48" s="46" t="s">
        <v>822</v>
      </c>
    </row>
    <row r="49" spans="2:8">
      <c r="B49" s="89"/>
      <c r="C49" s="89"/>
      <c r="D49" s="68" t="s">
        <v>154</v>
      </c>
      <c r="E49" s="69"/>
      <c r="F49" s="70"/>
      <c r="G49" s="81"/>
      <c r="H49" s="46" t="s">
        <v>823</v>
      </c>
    </row>
    <row r="50" spans="2:8">
      <c r="B50" s="89"/>
      <c r="C50" s="89"/>
      <c r="D50" s="68" t="s">
        <v>155</v>
      </c>
      <c r="E50" s="69"/>
      <c r="F50" s="70"/>
      <c r="G50" s="81"/>
      <c r="H50" s="46" t="s">
        <v>824</v>
      </c>
    </row>
    <row r="51" spans="2:8">
      <c r="B51" s="89">
        <v>11</v>
      </c>
      <c r="C51" s="89" t="s">
        <v>825</v>
      </c>
      <c r="D51" s="68" t="s">
        <v>826</v>
      </c>
      <c r="E51" s="69"/>
      <c r="F51" s="70"/>
      <c r="G51" s="81"/>
      <c r="H51" s="46" t="s">
        <v>827</v>
      </c>
    </row>
    <row r="52" spans="2:8">
      <c r="B52" s="89"/>
      <c r="C52" s="89"/>
      <c r="D52" s="68" t="s">
        <v>828</v>
      </c>
      <c r="E52" s="69"/>
      <c r="F52" s="70"/>
      <c r="G52" s="81"/>
      <c r="H52" s="46" t="s">
        <v>829</v>
      </c>
    </row>
    <row r="53" spans="2:8">
      <c r="B53" s="89"/>
      <c r="C53" s="89"/>
      <c r="D53" s="68" t="s">
        <v>163</v>
      </c>
      <c r="E53" s="69"/>
      <c r="F53" s="70"/>
      <c r="G53" s="81"/>
      <c r="H53" s="46" t="s">
        <v>830</v>
      </c>
    </row>
    <row r="54" spans="2:8">
      <c r="B54" s="89"/>
      <c r="C54" s="89"/>
      <c r="D54" s="68" t="s">
        <v>262</v>
      </c>
      <c r="E54" s="46"/>
      <c r="F54" s="48"/>
      <c r="G54" s="82"/>
      <c r="H54" s="46" t="s">
        <v>831</v>
      </c>
    </row>
    <row r="55" spans="2:8">
      <c r="B55" s="89">
        <v>12</v>
      </c>
      <c r="C55" s="89" t="s">
        <v>85</v>
      </c>
      <c r="D55" s="68" t="s">
        <v>161</v>
      </c>
      <c r="E55" s="69"/>
      <c r="F55" s="70"/>
      <c r="G55" s="81"/>
      <c r="H55" s="46" t="s">
        <v>832</v>
      </c>
    </row>
    <row r="56" spans="2:8">
      <c r="B56" s="89"/>
      <c r="C56" s="89"/>
      <c r="D56" s="68" t="s">
        <v>162</v>
      </c>
      <c r="E56" s="69"/>
      <c r="F56" s="70"/>
      <c r="G56" s="81"/>
      <c r="H56" s="46" t="s">
        <v>833</v>
      </c>
    </row>
    <row r="57" spans="2:8">
      <c r="B57" s="89"/>
      <c r="C57" s="89"/>
      <c r="D57" s="68" t="s">
        <v>163</v>
      </c>
      <c r="E57" s="69"/>
      <c r="F57" s="70"/>
      <c r="G57" s="81"/>
      <c r="H57" s="46" t="s">
        <v>834</v>
      </c>
    </row>
    <row r="58" spans="2:8">
      <c r="B58" s="89">
        <v>13</v>
      </c>
      <c r="C58" s="89" t="s">
        <v>86</v>
      </c>
      <c r="D58" s="68" t="s">
        <v>835</v>
      </c>
      <c r="E58" s="69"/>
      <c r="F58" s="70"/>
      <c r="G58" s="81"/>
      <c r="H58" s="46" t="s">
        <v>836</v>
      </c>
    </row>
    <row r="59" spans="2:8">
      <c r="B59" s="89"/>
      <c r="C59" s="89"/>
      <c r="D59" s="68" t="s">
        <v>837</v>
      </c>
      <c r="E59" s="69"/>
      <c r="F59" s="70"/>
      <c r="G59" s="81"/>
      <c r="H59" s="46" t="s">
        <v>838</v>
      </c>
    </row>
    <row r="60" spans="2:8">
      <c r="B60" s="89"/>
      <c r="C60" s="89"/>
      <c r="D60" s="68" t="s">
        <v>163</v>
      </c>
      <c r="E60" s="69"/>
      <c r="F60" s="70"/>
      <c r="G60" s="81"/>
      <c r="H60" s="46" t="s">
        <v>839</v>
      </c>
    </row>
    <row r="61" spans="2:8">
      <c r="B61" s="89">
        <v>14</v>
      </c>
      <c r="C61" s="89" t="s">
        <v>87</v>
      </c>
      <c r="D61" s="68" t="s">
        <v>166</v>
      </c>
      <c r="E61" s="69"/>
      <c r="F61" s="70"/>
      <c r="G61" s="81"/>
      <c r="H61" s="46" t="s">
        <v>840</v>
      </c>
    </row>
    <row r="62" spans="2:8">
      <c r="B62" s="89"/>
      <c r="C62" s="89"/>
      <c r="D62" s="68" t="s">
        <v>167</v>
      </c>
      <c r="E62" s="69"/>
      <c r="F62" s="70"/>
      <c r="G62" s="81"/>
      <c r="H62" s="46" t="s">
        <v>841</v>
      </c>
    </row>
    <row r="63" spans="2:8">
      <c r="B63" s="89"/>
      <c r="C63" s="89"/>
      <c r="D63" s="68" t="s">
        <v>163</v>
      </c>
      <c r="E63" s="69"/>
      <c r="F63" s="70"/>
      <c r="G63" s="81"/>
      <c r="H63" s="46" t="s">
        <v>842</v>
      </c>
    </row>
    <row r="64" spans="2:8">
      <c r="B64" s="89">
        <v>15</v>
      </c>
      <c r="C64" s="89" t="s">
        <v>88</v>
      </c>
      <c r="D64" s="68" t="s">
        <v>168</v>
      </c>
      <c r="E64" s="69"/>
      <c r="F64" s="70"/>
      <c r="G64" s="81"/>
      <c r="H64" s="46" t="s">
        <v>843</v>
      </c>
    </row>
    <row r="65" spans="2:8">
      <c r="B65" s="89"/>
      <c r="C65" s="89"/>
      <c r="D65" s="68" t="s">
        <v>169</v>
      </c>
      <c r="E65" s="69"/>
      <c r="F65" s="70"/>
      <c r="G65" s="81"/>
      <c r="H65" s="46" t="s">
        <v>844</v>
      </c>
    </row>
    <row r="66" spans="2:8">
      <c r="B66" s="89"/>
      <c r="C66" s="89"/>
      <c r="D66" s="68" t="s">
        <v>163</v>
      </c>
      <c r="E66" s="69"/>
      <c r="F66" s="70"/>
      <c r="G66" s="81"/>
      <c r="H66" s="46" t="s">
        <v>845</v>
      </c>
    </row>
    <row r="67" spans="2:8">
      <c r="B67" s="89">
        <v>16</v>
      </c>
      <c r="C67" s="89" t="s">
        <v>89</v>
      </c>
      <c r="D67" s="68" t="s">
        <v>170</v>
      </c>
      <c r="E67" s="69"/>
      <c r="F67" s="70"/>
      <c r="G67" s="81"/>
      <c r="H67" s="46" t="s">
        <v>846</v>
      </c>
    </row>
    <row r="68" spans="2:8">
      <c r="B68" s="89"/>
      <c r="C68" s="89"/>
      <c r="D68" s="68" t="s">
        <v>171</v>
      </c>
      <c r="E68" s="69"/>
      <c r="F68" s="70"/>
      <c r="G68" s="81"/>
      <c r="H68" s="46" t="s">
        <v>847</v>
      </c>
    </row>
    <row r="69" spans="2:8">
      <c r="B69" s="89"/>
      <c r="C69" s="89"/>
      <c r="D69" s="68" t="s">
        <v>465</v>
      </c>
      <c r="E69" s="46"/>
      <c r="F69" s="48"/>
      <c r="G69" s="82"/>
      <c r="H69" s="46" t="s">
        <v>848</v>
      </c>
    </row>
    <row r="70" spans="2:8">
      <c r="B70" s="89"/>
      <c r="C70" s="89"/>
      <c r="D70" s="68" t="s">
        <v>172</v>
      </c>
      <c r="E70" s="69"/>
      <c r="F70" s="70"/>
      <c r="G70" s="81"/>
      <c r="H70" s="46" t="s">
        <v>849</v>
      </c>
    </row>
    <row r="71" spans="2:8">
      <c r="B71" s="89"/>
      <c r="C71" s="89"/>
      <c r="D71" s="68" t="s">
        <v>173</v>
      </c>
      <c r="E71" s="69"/>
      <c r="F71" s="70"/>
      <c r="G71" s="81"/>
      <c r="H71" s="46" t="s">
        <v>850</v>
      </c>
    </row>
    <row r="72" spans="2:8">
      <c r="B72" s="89"/>
      <c r="C72" s="89"/>
      <c r="D72" s="68" t="s">
        <v>851</v>
      </c>
      <c r="E72" s="69"/>
      <c r="F72" s="70"/>
      <c r="G72" s="81"/>
      <c r="H72" s="46" t="s">
        <v>852</v>
      </c>
    </row>
    <row r="73" spans="2:8">
      <c r="B73" s="89"/>
      <c r="C73" s="89"/>
      <c r="D73" s="68" t="s">
        <v>175</v>
      </c>
      <c r="E73" s="69"/>
      <c r="F73" s="70"/>
      <c r="G73" s="81"/>
      <c r="H73" s="46" t="s">
        <v>853</v>
      </c>
    </row>
    <row r="74" spans="2:8">
      <c r="B74" s="89"/>
      <c r="C74" s="89"/>
      <c r="D74" s="68" t="s">
        <v>176</v>
      </c>
      <c r="E74" s="69"/>
      <c r="F74" s="70"/>
      <c r="G74" s="81"/>
      <c r="H74" s="46" t="s">
        <v>854</v>
      </c>
    </row>
    <row r="75" spans="2:8">
      <c r="B75" s="89"/>
      <c r="C75" s="89"/>
      <c r="D75" s="68" t="s">
        <v>123</v>
      </c>
      <c r="E75" s="46"/>
      <c r="F75" s="70"/>
      <c r="G75" s="81"/>
      <c r="H75" s="46" t="s">
        <v>855</v>
      </c>
    </row>
    <row r="76" spans="2:8">
      <c r="B76" s="89"/>
      <c r="C76" s="89"/>
      <c r="D76" s="68" t="s">
        <v>177</v>
      </c>
      <c r="E76" s="46"/>
      <c r="F76" s="70"/>
      <c r="G76" s="81"/>
      <c r="H76" s="46" t="s">
        <v>856</v>
      </c>
    </row>
    <row r="77" spans="2:8">
      <c r="B77" s="89"/>
      <c r="C77" s="89"/>
      <c r="D77" s="68" t="s">
        <v>857</v>
      </c>
      <c r="E77" s="46"/>
      <c r="F77" s="70"/>
      <c r="G77" s="81"/>
      <c r="H77" s="46" t="s">
        <v>858</v>
      </c>
    </row>
    <row r="78" spans="2:8">
      <c r="B78" s="89"/>
      <c r="C78" s="89"/>
      <c r="D78" s="68" t="s">
        <v>262</v>
      </c>
      <c r="E78" s="46"/>
      <c r="F78" s="70"/>
      <c r="G78" s="81"/>
      <c r="H78" s="46" t="s">
        <v>859</v>
      </c>
    </row>
    <row r="79" spans="2:8">
      <c r="B79" s="89">
        <v>17</v>
      </c>
      <c r="C79" s="89" t="s">
        <v>860</v>
      </c>
      <c r="D79" s="68" t="s">
        <v>224</v>
      </c>
      <c r="E79" s="69"/>
      <c r="F79" s="70"/>
      <c r="G79" s="81"/>
      <c r="H79" s="46" t="s">
        <v>861</v>
      </c>
    </row>
    <row r="80" spans="2:8">
      <c r="B80" s="89"/>
      <c r="C80" s="89"/>
      <c r="D80" s="68" t="s">
        <v>225</v>
      </c>
      <c r="E80" s="46"/>
      <c r="F80" s="48"/>
      <c r="G80" s="82"/>
      <c r="H80" s="46" t="s">
        <v>804</v>
      </c>
    </row>
    <row r="81" spans="2:8" ht="66">
      <c r="B81" s="89"/>
      <c r="C81" s="89"/>
      <c r="D81" s="68" t="s">
        <v>226</v>
      </c>
      <c r="E81" s="69"/>
      <c r="F81" s="70"/>
      <c r="G81" s="81"/>
      <c r="H81" s="54" t="s">
        <v>862</v>
      </c>
    </row>
    <row r="82" spans="2:8">
      <c r="B82" s="89"/>
      <c r="C82" s="89"/>
      <c r="D82" s="68" t="s">
        <v>227</v>
      </c>
      <c r="E82" s="69"/>
      <c r="F82" s="70"/>
      <c r="G82" s="81"/>
      <c r="H82" s="46" t="s">
        <v>863</v>
      </c>
    </row>
    <row r="83" spans="2:8">
      <c r="B83" s="89"/>
      <c r="C83" s="89"/>
      <c r="D83" s="68" t="s">
        <v>228</v>
      </c>
      <c r="E83" s="69"/>
      <c r="F83" s="70"/>
      <c r="G83" s="81"/>
      <c r="H83" s="46" t="s">
        <v>864</v>
      </c>
    </row>
    <row r="84" spans="2:8">
      <c r="B84" s="89">
        <v>18</v>
      </c>
      <c r="C84" s="89" t="s">
        <v>91</v>
      </c>
      <c r="D84" s="68" t="s">
        <v>224</v>
      </c>
      <c r="E84" s="69"/>
      <c r="F84" s="70"/>
      <c r="G84" s="81"/>
      <c r="H84" s="46" t="s">
        <v>865</v>
      </c>
    </row>
    <row r="85" spans="2:8">
      <c r="B85" s="89"/>
      <c r="C85" s="89"/>
      <c r="D85" s="68" t="s">
        <v>225</v>
      </c>
      <c r="E85" s="46"/>
      <c r="F85" s="48"/>
      <c r="G85" s="82"/>
      <c r="H85" s="46" t="s">
        <v>13</v>
      </c>
    </row>
    <row r="86" spans="2:8">
      <c r="B86" s="89"/>
      <c r="C86" s="89"/>
      <c r="D86" s="68" t="s">
        <v>866</v>
      </c>
      <c r="E86" s="69"/>
      <c r="F86" s="70"/>
      <c r="G86" s="81"/>
      <c r="H86" s="46" t="s">
        <v>867</v>
      </c>
    </row>
    <row r="87" spans="2:8">
      <c r="B87" s="89"/>
      <c r="C87" s="89"/>
      <c r="D87" s="68" t="s">
        <v>868</v>
      </c>
      <c r="E87" s="69"/>
      <c r="F87" s="70"/>
      <c r="G87" s="81"/>
      <c r="H87" s="46" t="s">
        <v>869</v>
      </c>
    </row>
    <row r="88" spans="2:8">
      <c r="B88" s="89">
        <v>19</v>
      </c>
      <c r="C88" s="89" t="s">
        <v>92</v>
      </c>
      <c r="D88" s="68" t="s">
        <v>259</v>
      </c>
      <c r="E88" s="69"/>
      <c r="F88" s="70"/>
      <c r="G88" s="81"/>
      <c r="H88" s="46" t="s">
        <v>870</v>
      </c>
    </row>
    <row r="89" spans="2:8">
      <c r="B89" s="89"/>
      <c r="C89" s="89"/>
      <c r="D89" s="68" t="s">
        <v>871</v>
      </c>
      <c r="E89" s="69"/>
      <c r="F89" s="70"/>
      <c r="G89" s="81"/>
      <c r="H89" s="46" t="s">
        <v>872</v>
      </c>
    </row>
    <row r="90" spans="2:8">
      <c r="B90" s="89"/>
      <c r="C90" s="89"/>
      <c r="D90" s="68" t="s">
        <v>225</v>
      </c>
      <c r="E90" s="46"/>
      <c r="F90" s="48"/>
      <c r="G90" s="82"/>
      <c r="H90" s="46" t="s">
        <v>873</v>
      </c>
    </row>
    <row r="91" spans="2:8">
      <c r="B91" s="89"/>
      <c r="C91" s="89"/>
      <c r="D91" s="68" t="s">
        <v>261</v>
      </c>
      <c r="E91" s="69"/>
      <c r="F91" s="70"/>
      <c r="G91" s="81"/>
      <c r="H91" s="46" t="s">
        <v>874</v>
      </c>
    </row>
    <row r="92" spans="2:8">
      <c r="B92" s="89"/>
      <c r="C92" s="89"/>
      <c r="D92" s="68" t="s">
        <v>875</v>
      </c>
      <c r="E92" s="46"/>
      <c r="F92" s="48"/>
      <c r="G92" s="82"/>
      <c r="H92" s="46" t="s">
        <v>876</v>
      </c>
    </row>
    <row r="93" spans="2:8">
      <c r="B93" s="89"/>
      <c r="C93" s="89"/>
      <c r="D93" s="68" t="s">
        <v>263</v>
      </c>
      <c r="E93" s="69"/>
      <c r="F93" s="70"/>
      <c r="G93" s="81"/>
      <c r="H93" s="46" t="s">
        <v>877</v>
      </c>
    </row>
    <row r="94" spans="2:8">
      <c r="B94" s="89"/>
      <c r="C94" s="89"/>
      <c r="D94" s="68" t="s">
        <v>264</v>
      </c>
      <c r="E94" s="69"/>
      <c r="F94" s="70"/>
      <c r="G94" s="81"/>
      <c r="H94" s="46" t="s">
        <v>878</v>
      </c>
    </row>
    <row r="95" spans="2:8">
      <c r="B95" s="89"/>
      <c r="C95" s="89"/>
      <c r="D95" s="68" t="s">
        <v>879</v>
      </c>
      <c r="E95" s="69"/>
      <c r="F95" s="70"/>
      <c r="G95" s="81"/>
      <c r="H95" s="46" t="s">
        <v>880</v>
      </c>
    </row>
    <row r="96" spans="2:8">
      <c r="B96" s="89">
        <v>20</v>
      </c>
      <c r="C96" s="89" t="s">
        <v>93</v>
      </c>
      <c r="D96" s="68" t="s">
        <v>247</v>
      </c>
      <c r="E96" s="69"/>
      <c r="F96" s="70"/>
      <c r="G96" s="81"/>
      <c r="H96" s="46" t="s">
        <v>881</v>
      </c>
    </row>
    <row r="97" spans="2:8">
      <c r="B97" s="89"/>
      <c r="C97" s="89"/>
      <c r="D97" s="68" t="s">
        <v>238</v>
      </c>
      <c r="E97" s="46"/>
      <c r="F97" s="48"/>
      <c r="G97" s="82"/>
      <c r="H97" s="46" t="s">
        <v>882</v>
      </c>
    </row>
    <row r="98" spans="2:8">
      <c r="B98" s="89"/>
      <c r="C98" s="89"/>
      <c r="D98" s="68" t="s">
        <v>883</v>
      </c>
      <c r="E98" s="69"/>
      <c r="F98" s="70"/>
      <c r="G98" s="81"/>
      <c r="H98" s="46" t="s">
        <v>884</v>
      </c>
    </row>
    <row r="99" spans="2:8">
      <c r="B99" s="89"/>
      <c r="C99" s="89"/>
      <c r="D99" s="68" t="s">
        <v>249</v>
      </c>
      <c r="E99" s="69"/>
      <c r="F99" s="70"/>
      <c r="G99" s="81"/>
      <c r="H99" s="46" t="s">
        <v>885</v>
      </c>
    </row>
    <row r="100" spans="2:8">
      <c r="B100" s="89"/>
      <c r="C100" s="89"/>
      <c r="D100" s="68" t="s">
        <v>159</v>
      </c>
      <c r="E100" s="46"/>
      <c r="F100" s="48"/>
      <c r="G100" s="82"/>
      <c r="H100" s="46" t="s">
        <v>886</v>
      </c>
    </row>
    <row r="101" spans="2:8">
      <c r="B101" s="89"/>
      <c r="C101" s="89"/>
      <c r="D101" s="68" t="s">
        <v>250</v>
      </c>
      <c r="E101" s="69"/>
      <c r="F101" s="70"/>
      <c r="G101" s="81"/>
      <c r="H101" s="46" t="s">
        <v>887</v>
      </c>
    </row>
    <row r="102" spans="2:8">
      <c r="B102" s="89"/>
      <c r="C102" s="89"/>
      <c r="D102" s="68" t="s">
        <v>251</v>
      </c>
      <c r="E102" s="69"/>
      <c r="F102" s="70"/>
      <c r="G102" s="81"/>
      <c r="H102" s="46" t="s">
        <v>888</v>
      </c>
    </row>
    <row r="103" spans="2:8">
      <c r="B103" s="89"/>
      <c r="C103" s="89"/>
      <c r="D103" s="68" t="s">
        <v>889</v>
      </c>
      <c r="E103" s="69"/>
      <c r="F103" s="70"/>
      <c r="G103" s="81"/>
      <c r="H103" s="46" t="s">
        <v>890</v>
      </c>
    </row>
    <row r="104" spans="2:8">
      <c r="B104" s="89">
        <v>21</v>
      </c>
      <c r="C104" s="89" t="s">
        <v>94</v>
      </c>
      <c r="D104" s="68" t="s">
        <v>891</v>
      </c>
      <c r="E104" s="69"/>
      <c r="F104" s="70"/>
      <c r="G104" s="81"/>
      <c r="H104" s="46" t="s">
        <v>892</v>
      </c>
    </row>
    <row r="105" spans="2:8">
      <c r="B105" s="89"/>
      <c r="C105" s="89"/>
      <c r="D105" s="68" t="s">
        <v>893</v>
      </c>
      <c r="E105" s="69"/>
      <c r="F105" s="70"/>
      <c r="G105" s="81"/>
      <c r="H105" s="46" t="s">
        <v>894</v>
      </c>
    </row>
    <row r="106" spans="2:8">
      <c r="B106" s="89"/>
      <c r="C106" s="89"/>
      <c r="D106" s="68" t="s">
        <v>895</v>
      </c>
      <c r="E106" s="69"/>
      <c r="F106" s="70"/>
      <c r="G106" s="81"/>
      <c r="H106" s="46" t="s">
        <v>896</v>
      </c>
    </row>
    <row r="107" spans="2:8">
      <c r="B107" s="89">
        <v>22</v>
      </c>
      <c r="C107" s="89" t="s">
        <v>95</v>
      </c>
      <c r="D107" s="68" t="s">
        <v>14</v>
      </c>
      <c r="E107" s="69"/>
      <c r="F107" s="70"/>
      <c r="G107" s="81"/>
      <c r="H107" s="46" t="s">
        <v>897</v>
      </c>
    </row>
    <row r="108" spans="2:8">
      <c r="B108" s="89"/>
      <c r="C108" s="89"/>
      <c r="D108" s="68" t="s">
        <v>271</v>
      </c>
      <c r="E108" s="69"/>
      <c r="F108" s="70"/>
      <c r="G108" s="81"/>
      <c r="H108" s="46" t="s">
        <v>898</v>
      </c>
    </row>
    <row r="109" spans="2:8">
      <c r="B109" s="89"/>
      <c r="C109" s="89"/>
      <c r="D109" s="68" t="s">
        <v>272</v>
      </c>
      <c r="E109" s="69"/>
      <c r="F109" s="70"/>
      <c r="G109" s="81"/>
      <c r="H109" s="46" t="s">
        <v>899</v>
      </c>
    </row>
    <row r="110" spans="2:8">
      <c r="B110" s="89"/>
      <c r="C110" s="89"/>
      <c r="D110" s="68" t="s">
        <v>273</v>
      </c>
      <c r="E110" s="69"/>
      <c r="F110" s="70"/>
      <c r="G110" s="81"/>
      <c r="H110" s="46" t="s">
        <v>900</v>
      </c>
    </row>
    <row r="111" spans="2:8">
      <c r="B111" s="89"/>
      <c r="C111" s="89"/>
      <c r="D111" s="68" t="s">
        <v>274</v>
      </c>
      <c r="E111" s="69"/>
      <c r="F111" s="70"/>
      <c r="G111" s="81"/>
      <c r="H111" s="46" t="s">
        <v>901</v>
      </c>
    </row>
    <row r="112" spans="2:8">
      <c r="B112" s="89"/>
      <c r="C112" s="89"/>
      <c r="D112" s="68" t="s">
        <v>275</v>
      </c>
      <c r="E112" s="69"/>
      <c r="F112" s="70"/>
      <c r="G112" s="81"/>
      <c r="H112" s="46" t="s">
        <v>902</v>
      </c>
    </row>
    <row r="113" spans="2:8">
      <c r="B113" s="89"/>
      <c r="C113" s="89"/>
      <c r="D113" s="68" t="s">
        <v>276</v>
      </c>
      <c r="E113" s="69"/>
      <c r="F113" s="70"/>
      <c r="G113" s="81"/>
      <c r="H113" s="46" t="s">
        <v>903</v>
      </c>
    </row>
    <row r="114" spans="2:8">
      <c r="B114" s="89"/>
      <c r="C114" s="89"/>
      <c r="D114" s="68" t="s">
        <v>277</v>
      </c>
      <c r="E114" s="69"/>
      <c r="F114" s="70"/>
      <c r="G114" s="81"/>
      <c r="H114" s="46" t="s">
        <v>904</v>
      </c>
    </row>
    <row r="115" spans="2:8">
      <c r="B115" s="89"/>
      <c r="C115" s="89"/>
      <c r="D115" s="68" t="s">
        <v>278</v>
      </c>
      <c r="E115" s="69"/>
      <c r="F115" s="70"/>
      <c r="G115" s="81"/>
      <c r="H115" s="46" t="s">
        <v>905</v>
      </c>
    </row>
    <row r="116" spans="2:8">
      <c r="B116" s="89"/>
      <c r="C116" s="89"/>
      <c r="D116" s="68" t="s">
        <v>123</v>
      </c>
      <c r="E116" s="46"/>
      <c r="F116" s="70"/>
      <c r="G116" s="81"/>
      <c r="H116" s="46" t="s">
        <v>906</v>
      </c>
    </row>
    <row r="117" spans="2:8">
      <c r="B117" s="89"/>
      <c r="C117" s="89"/>
      <c r="D117" s="68" t="s">
        <v>279</v>
      </c>
      <c r="E117" s="46"/>
      <c r="F117" s="70"/>
      <c r="G117" s="81"/>
      <c r="H117" s="46" t="s">
        <v>907</v>
      </c>
    </row>
    <row r="118" spans="2:8">
      <c r="B118" s="89"/>
      <c r="C118" s="89"/>
      <c r="D118" s="68" t="s">
        <v>280</v>
      </c>
      <c r="E118" s="46"/>
      <c r="F118" s="70"/>
      <c r="G118" s="81"/>
      <c r="H118" s="46" t="s">
        <v>908</v>
      </c>
    </row>
    <row r="119" spans="2:8">
      <c r="B119" s="89"/>
      <c r="C119" s="89"/>
      <c r="D119" s="68" t="s">
        <v>281</v>
      </c>
      <c r="E119" s="46"/>
      <c r="F119" s="70"/>
      <c r="G119" s="81"/>
      <c r="H119" s="46" t="s">
        <v>909</v>
      </c>
    </row>
    <row r="120" spans="2:8">
      <c r="B120" s="89"/>
      <c r="C120" s="89"/>
      <c r="D120" s="68" t="s">
        <v>282</v>
      </c>
      <c r="E120" s="46"/>
      <c r="F120" s="70"/>
      <c r="G120" s="81"/>
      <c r="H120" s="46" t="s">
        <v>910</v>
      </c>
    </row>
    <row r="121" spans="2:8">
      <c r="B121" s="89"/>
      <c r="C121" s="89"/>
      <c r="D121" s="68" t="s">
        <v>283</v>
      </c>
      <c r="E121" s="46"/>
      <c r="F121" s="70"/>
      <c r="G121" s="81"/>
      <c r="H121" s="46" t="s">
        <v>911</v>
      </c>
    </row>
    <row r="122" spans="2:8">
      <c r="B122" s="89"/>
      <c r="C122" s="89"/>
      <c r="D122" s="68" t="s">
        <v>284</v>
      </c>
      <c r="E122" s="46"/>
      <c r="F122" s="70"/>
      <c r="G122" s="81"/>
      <c r="H122" s="46" t="s">
        <v>912</v>
      </c>
    </row>
    <row r="123" spans="2:8">
      <c r="B123" s="89"/>
      <c r="C123" s="89"/>
      <c r="D123" s="68" t="s">
        <v>285</v>
      </c>
      <c r="E123" s="46"/>
      <c r="F123" s="70"/>
      <c r="G123" s="81"/>
      <c r="H123" s="46" t="s">
        <v>913</v>
      </c>
    </row>
    <row r="124" spans="2:8">
      <c r="B124" s="89"/>
      <c r="C124" s="89"/>
      <c r="D124" s="68" t="s">
        <v>286</v>
      </c>
      <c r="E124" s="46"/>
      <c r="F124" s="70"/>
      <c r="G124" s="81"/>
      <c r="H124" s="46" t="s">
        <v>914</v>
      </c>
    </row>
    <row r="125" spans="2:8">
      <c r="B125" s="89"/>
      <c r="C125" s="89"/>
      <c r="D125" s="68" t="s">
        <v>287</v>
      </c>
      <c r="E125" s="46"/>
      <c r="F125" s="70"/>
      <c r="G125" s="81"/>
      <c r="H125" s="46"/>
    </row>
    <row r="126" spans="2:8">
      <c r="B126" s="89"/>
      <c r="C126" s="89"/>
      <c r="D126" s="68" t="s">
        <v>288</v>
      </c>
      <c r="E126" s="46"/>
      <c r="F126" s="70"/>
      <c r="G126" s="81"/>
      <c r="H126" s="46"/>
    </row>
    <row r="127" spans="2:8">
      <c r="B127" s="89"/>
      <c r="C127" s="89"/>
      <c r="D127" s="68" t="s">
        <v>289</v>
      </c>
      <c r="E127" s="69"/>
      <c r="F127" s="70"/>
      <c r="G127" s="81"/>
      <c r="H127" s="46" t="s">
        <v>915</v>
      </c>
    </row>
    <row r="128" spans="2:8">
      <c r="B128" s="89"/>
      <c r="C128" s="89"/>
      <c r="D128" s="68" t="s">
        <v>290</v>
      </c>
      <c r="E128" s="43"/>
      <c r="F128" s="72"/>
      <c r="G128" s="83"/>
      <c r="H128" s="46" t="s">
        <v>916</v>
      </c>
    </row>
    <row r="129" spans="2:8">
      <c r="B129" s="89"/>
      <c r="C129" s="89"/>
      <c r="D129" s="68" t="s">
        <v>291</v>
      </c>
      <c r="E129" s="46"/>
      <c r="F129" s="70"/>
      <c r="G129" s="81"/>
      <c r="H129" s="46" t="s">
        <v>917</v>
      </c>
    </row>
    <row r="130" spans="2:8">
      <c r="B130" s="89"/>
      <c r="C130" s="89"/>
      <c r="D130" s="68" t="s">
        <v>292</v>
      </c>
      <c r="E130" s="46"/>
      <c r="F130" s="70"/>
      <c r="G130" s="81"/>
      <c r="H130" s="46" t="s">
        <v>918</v>
      </c>
    </row>
    <row r="131" spans="2:8">
      <c r="B131" s="89"/>
      <c r="C131" s="89"/>
      <c r="D131" s="68" t="s">
        <v>293</v>
      </c>
      <c r="E131" s="69"/>
      <c r="F131" s="70"/>
      <c r="G131" s="81"/>
      <c r="H131" s="46" t="s">
        <v>919</v>
      </c>
    </row>
    <row r="132" spans="2:8">
      <c r="B132" s="89"/>
      <c r="C132" s="89"/>
      <c r="D132" s="68" t="s">
        <v>294</v>
      </c>
      <c r="E132" s="46"/>
      <c r="F132" s="70"/>
      <c r="G132" s="81"/>
      <c r="H132" s="46" t="s">
        <v>920</v>
      </c>
    </row>
    <row r="133" spans="2:8">
      <c r="B133" s="89"/>
      <c r="C133" s="89"/>
      <c r="D133" s="68" t="s">
        <v>295</v>
      </c>
      <c r="E133" s="46"/>
      <c r="F133" s="70"/>
      <c r="G133" s="81"/>
      <c r="H133" s="46" t="s">
        <v>921</v>
      </c>
    </row>
    <row r="134" spans="2:8">
      <c r="B134" s="89"/>
      <c r="C134" s="89"/>
      <c r="D134" s="68" t="s">
        <v>296</v>
      </c>
      <c r="E134" s="69"/>
      <c r="F134" s="70"/>
      <c r="G134" s="81"/>
      <c r="H134" s="46" t="s">
        <v>6</v>
      </c>
    </row>
    <row r="135" spans="2:8">
      <c r="B135" s="89"/>
      <c r="C135" s="89"/>
      <c r="D135" s="68" t="s">
        <v>297</v>
      </c>
      <c r="E135" s="46"/>
      <c r="F135" s="72"/>
      <c r="G135" s="83"/>
      <c r="H135" s="46" t="s">
        <v>922</v>
      </c>
    </row>
    <row r="136" spans="2:8">
      <c r="B136" s="89"/>
      <c r="C136" s="89"/>
      <c r="D136" s="68" t="s">
        <v>298</v>
      </c>
      <c r="E136" s="48"/>
      <c r="F136" s="46"/>
      <c r="G136" s="55"/>
      <c r="H136" s="46" t="s">
        <v>923</v>
      </c>
    </row>
    <row r="137" spans="2:8">
      <c r="B137" s="89"/>
      <c r="C137" s="89"/>
      <c r="D137" s="68" t="s">
        <v>299</v>
      </c>
      <c r="E137" s="47"/>
      <c r="F137" s="46"/>
      <c r="G137" s="55"/>
      <c r="H137" s="46" t="s">
        <v>924</v>
      </c>
    </row>
    <row r="138" spans="2:8">
      <c r="B138" s="89">
        <v>23</v>
      </c>
      <c r="C138" s="89" t="s">
        <v>96</v>
      </c>
      <c r="D138" s="68" t="s">
        <v>14</v>
      </c>
      <c r="E138" s="69"/>
      <c r="F138" s="70"/>
      <c r="G138" s="81"/>
      <c r="H138" s="46" t="s">
        <v>897</v>
      </c>
    </row>
    <row r="139" spans="2:8">
      <c r="B139" s="89"/>
      <c r="C139" s="89"/>
      <c r="D139" s="68" t="s">
        <v>271</v>
      </c>
      <c r="E139" s="69"/>
      <c r="F139" s="70"/>
      <c r="G139" s="81"/>
      <c r="H139" s="46" t="s">
        <v>898</v>
      </c>
    </row>
    <row r="140" spans="2:8">
      <c r="B140" s="89"/>
      <c r="C140" s="89"/>
      <c r="D140" s="68" t="s">
        <v>272</v>
      </c>
      <c r="E140" s="69"/>
      <c r="F140" s="70"/>
      <c r="G140" s="81"/>
      <c r="H140" s="46" t="s">
        <v>899</v>
      </c>
    </row>
    <row r="141" spans="2:8">
      <c r="B141" s="89"/>
      <c r="C141" s="89"/>
      <c r="D141" s="68" t="s">
        <v>273</v>
      </c>
      <c r="E141" s="69"/>
      <c r="F141" s="70"/>
      <c r="G141" s="81"/>
      <c r="H141" s="46" t="s">
        <v>900</v>
      </c>
    </row>
    <row r="142" spans="2:8">
      <c r="B142" s="89"/>
      <c r="C142" s="89"/>
      <c r="D142" s="68" t="s">
        <v>274</v>
      </c>
      <c r="E142" s="69"/>
      <c r="F142" s="70"/>
      <c r="G142" s="81"/>
      <c r="H142" s="46" t="s">
        <v>901</v>
      </c>
    </row>
    <row r="143" spans="2:8">
      <c r="B143" s="89"/>
      <c r="C143" s="89"/>
      <c r="D143" s="68" t="s">
        <v>275</v>
      </c>
      <c r="E143" s="69"/>
      <c r="F143" s="70"/>
      <c r="G143" s="81"/>
      <c r="H143" s="46" t="s">
        <v>902</v>
      </c>
    </row>
    <row r="144" spans="2:8">
      <c r="B144" s="89"/>
      <c r="C144" s="89"/>
      <c r="D144" s="68" t="s">
        <v>276</v>
      </c>
      <c r="E144" s="69"/>
      <c r="F144" s="70"/>
      <c r="G144" s="81"/>
      <c r="H144" s="46" t="s">
        <v>925</v>
      </c>
    </row>
    <row r="145" spans="2:8">
      <c r="B145" s="89"/>
      <c r="C145" s="89"/>
      <c r="D145" s="68" t="s">
        <v>277</v>
      </c>
      <c r="E145" s="69"/>
      <c r="F145" s="70"/>
      <c r="G145" s="81"/>
      <c r="H145" s="46" t="s">
        <v>904</v>
      </c>
    </row>
    <row r="146" spans="2:8">
      <c r="B146" s="89"/>
      <c r="C146" s="89"/>
      <c r="D146" s="68" t="s">
        <v>123</v>
      </c>
      <c r="E146" s="46"/>
      <c r="F146" s="70"/>
      <c r="G146" s="81"/>
      <c r="H146" s="46" t="s">
        <v>906</v>
      </c>
    </row>
    <row r="147" spans="2:8">
      <c r="B147" s="89"/>
      <c r="C147" s="89"/>
      <c r="D147" s="68" t="s">
        <v>345</v>
      </c>
      <c r="E147" s="46"/>
      <c r="F147" s="70"/>
      <c r="G147" s="81"/>
      <c r="H147" s="46" t="s">
        <v>926</v>
      </c>
    </row>
    <row r="148" spans="2:8">
      <c r="B148" s="89"/>
      <c r="C148" s="89"/>
      <c r="D148" s="68" t="s">
        <v>279</v>
      </c>
      <c r="E148" s="46"/>
      <c r="F148" s="70"/>
      <c r="G148" s="81"/>
      <c r="H148" s="46" t="s">
        <v>927</v>
      </c>
    </row>
    <row r="149" spans="2:8">
      <c r="B149" s="89"/>
      <c r="C149" s="89"/>
      <c r="D149" s="68" t="s">
        <v>346</v>
      </c>
      <c r="E149" s="46"/>
      <c r="F149" s="70"/>
      <c r="G149" s="81"/>
      <c r="H149" s="46" t="s">
        <v>928</v>
      </c>
    </row>
    <row r="150" spans="2:8">
      <c r="B150" s="89"/>
      <c r="C150" s="89"/>
      <c r="D150" s="68" t="s">
        <v>347</v>
      </c>
      <c r="E150" s="46"/>
      <c r="F150" s="70"/>
      <c r="G150" s="81"/>
      <c r="H150" s="46" t="s">
        <v>928</v>
      </c>
    </row>
    <row r="151" spans="2:8">
      <c r="B151" s="89"/>
      <c r="C151" s="89"/>
      <c r="D151" s="68" t="s">
        <v>348</v>
      </c>
      <c r="E151" s="46"/>
      <c r="F151" s="70"/>
      <c r="G151" s="81"/>
      <c r="H151" s="46" t="s">
        <v>928</v>
      </c>
    </row>
    <row r="152" spans="2:8">
      <c r="B152" s="89"/>
      <c r="C152" s="89"/>
      <c r="D152" s="68" t="s">
        <v>349</v>
      </c>
      <c r="E152" s="46"/>
      <c r="F152" s="70"/>
      <c r="G152" s="81"/>
      <c r="H152" s="46" t="s">
        <v>929</v>
      </c>
    </row>
    <row r="153" spans="2:8">
      <c r="B153" s="89"/>
      <c r="C153" s="89"/>
      <c r="D153" s="68" t="s">
        <v>350</v>
      </c>
      <c r="E153" s="46"/>
      <c r="F153" s="70"/>
      <c r="G153" s="81"/>
      <c r="H153" s="46" t="s">
        <v>930</v>
      </c>
    </row>
    <row r="154" spans="2:8">
      <c r="B154" s="89"/>
      <c r="C154" s="89"/>
      <c r="D154" s="68" t="s">
        <v>351</v>
      </c>
      <c r="E154" s="46"/>
      <c r="F154" s="70"/>
      <c r="G154" s="81"/>
      <c r="H154" s="46" t="s">
        <v>931</v>
      </c>
    </row>
    <row r="155" spans="2:8">
      <c r="B155" s="89"/>
      <c r="C155" s="89"/>
      <c r="D155" s="68" t="s">
        <v>297</v>
      </c>
      <c r="E155" s="69"/>
      <c r="F155" s="70"/>
      <c r="G155" s="81"/>
      <c r="H155" s="46" t="s">
        <v>932</v>
      </c>
    </row>
    <row r="156" spans="2:8">
      <c r="B156" s="89"/>
      <c r="C156" s="89"/>
      <c r="D156" s="68" t="s">
        <v>352</v>
      </c>
      <c r="E156" s="46"/>
      <c r="F156" s="46"/>
      <c r="G156" s="55"/>
      <c r="H156" s="46" t="s">
        <v>933</v>
      </c>
    </row>
    <row r="157" spans="2:8">
      <c r="B157" s="89"/>
      <c r="C157" s="89"/>
      <c r="D157" s="68" t="s">
        <v>353</v>
      </c>
      <c r="E157" s="46"/>
      <c r="F157" s="46"/>
      <c r="G157" s="55"/>
      <c r="H157" s="46" t="s">
        <v>934</v>
      </c>
    </row>
    <row r="158" spans="2:8">
      <c r="B158" s="89"/>
      <c r="C158" s="89"/>
      <c r="D158" s="68" t="s">
        <v>354</v>
      </c>
      <c r="E158" s="46"/>
      <c r="F158" s="46"/>
      <c r="G158" s="55"/>
      <c r="H158" s="46" t="s">
        <v>935</v>
      </c>
    </row>
    <row r="159" spans="2:8">
      <c r="B159" s="89"/>
      <c r="C159" s="89"/>
      <c r="D159" s="68" t="s">
        <v>225</v>
      </c>
      <c r="E159" s="46"/>
      <c r="F159" s="46"/>
      <c r="G159" s="55"/>
      <c r="H159" s="46"/>
    </row>
    <row r="160" spans="2:8">
      <c r="B160" s="89">
        <v>24</v>
      </c>
      <c r="C160" s="89" t="s">
        <v>97</v>
      </c>
      <c r="D160" s="68" t="s">
        <v>14</v>
      </c>
      <c r="E160" s="69"/>
      <c r="F160" s="70"/>
      <c r="G160" s="81"/>
      <c r="H160" s="46" t="s">
        <v>897</v>
      </c>
    </row>
    <row r="161" spans="2:8">
      <c r="B161" s="89"/>
      <c r="C161" s="89"/>
      <c r="D161" s="68" t="s">
        <v>271</v>
      </c>
      <c r="E161" s="69"/>
      <c r="F161" s="70"/>
      <c r="G161" s="81"/>
      <c r="H161" s="46" t="s">
        <v>898</v>
      </c>
    </row>
    <row r="162" spans="2:8">
      <c r="B162" s="89"/>
      <c r="C162" s="89"/>
      <c r="D162" s="68" t="s">
        <v>272</v>
      </c>
      <c r="E162" s="69"/>
      <c r="F162" s="70"/>
      <c r="G162" s="81"/>
      <c r="H162" s="46" t="s">
        <v>899</v>
      </c>
    </row>
    <row r="163" spans="2:8">
      <c r="B163" s="89"/>
      <c r="C163" s="89"/>
      <c r="D163" s="68" t="s">
        <v>273</v>
      </c>
      <c r="E163" s="69"/>
      <c r="F163" s="70"/>
      <c r="G163" s="81"/>
      <c r="H163" s="46" t="s">
        <v>900</v>
      </c>
    </row>
    <row r="164" spans="2:8">
      <c r="B164" s="89"/>
      <c r="C164" s="89"/>
      <c r="D164" s="68" t="s">
        <v>274</v>
      </c>
      <c r="E164" s="69"/>
      <c r="F164" s="70"/>
      <c r="G164" s="81"/>
      <c r="H164" s="46" t="s">
        <v>901</v>
      </c>
    </row>
    <row r="165" spans="2:8">
      <c r="B165" s="89"/>
      <c r="C165" s="89"/>
      <c r="D165" s="68" t="s">
        <v>275</v>
      </c>
      <c r="E165" s="69"/>
      <c r="F165" s="70"/>
      <c r="G165" s="81"/>
      <c r="H165" s="46" t="s">
        <v>902</v>
      </c>
    </row>
    <row r="166" spans="2:8">
      <c r="B166" s="89"/>
      <c r="C166" s="89"/>
      <c r="D166" s="68" t="s">
        <v>276</v>
      </c>
      <c r="E166" s="69"/>
      <c r="F166" s="70"/>
      <c r="G166" s="81"/>
      <c r="H166" s="46" t="s">
        <v>936</v>
      </c>
    </row>
    <row r="167" spans="2:8">
      <c r="B167" s="89"/>
      <c r="C167" s="89"/>
      <c r="D167" s="68" t="s">
        <v>277</v>
      </c>
      <c r="E167" s="69"/>
      <c r="F167" s="70"/>
      <c r="G167" s="81"/>
      <c r="H167" s="46" t="s">
        <v>904</v>
      </c>
    </row>
    <row r="168" spans="2:8">
      <c r="B168" s="89"/>
      <c r="C168" s="89"/>
      <c r="D168" s="68" t="s">
        <v>278</v>
      </c>
      <c r="E168" s="69"/>
      <c r="F168" s="70"/>
      <c r="G168" s="81"/>
      <c r="H168" s="46" t="s">
        <v>937</v>
      </c>
    </row>
    <row r="169" spans="2:8">
      <c r="B169" s="89"/>
      <c r="C169" s="89"/>
      <c r="D169" s="68" t="s">
        <v>123</v>
      </c>
      <c r="E169" s="46"/>
      <c r="F169" s="70"/>
      <c r="G169" s="81"/>
      <c r="H169" s="46" t="s">
        <v>906</v>
      </c>
    </row>
    <row r="170" spans="2:8">
      <c r="B170" s="89"/>
      <c r="C170" s="89"/>
      <c r="D170" s="68" t="s">
        <v>279</v>
      </c>
      <c r="E170" s="46"/>
      <c r="F170" s="70"/>
      <c r="G170" s="81"/>
      <c r="H170" s="46" t="s">
        <v>907</v>
      </c>
    </row>
    <row r="171" spans="2:8">
      <c r="B171" s="89"/>
      <c r="C171" s="89"/>
      <c r="D171" s="68" t="s">
        <v>280</v>
      </c>
      <c r="E171" s="46"/>
      <c r="F171" s="70"/>
      <c r="G171" s="81"/>
      <c r="H171" s="46" t="s">
        <v>908</v>
      </c>
    </row>
    <row r="172" spans="2:8">
      <c r="B172" s="89"/>
      <c r="C172" s="89"/>
      <c r="D172" s="68" t="s">
        <v>283</v>
      </c>
      <c r="E172" s="46"/>
      <c r="F172" s="70"/>
      <c r="G172" s="81"/>
      <c r="H172" s="46" t="s">
        <v>911</v>
      </c>
    </row>
    <row r="173" spans="2:8">
      <c r="B173" s="89"/>
      <c r="C173" s="89"/>
      <c r="D173" s="68" t="s">
        <v>284</v>
      </c>
      <c r="E173" s="46"/>
      <c r="F173" s="70"/>
      <c r="G173" s="81"/>
      <c r="H173" s="46" t="s">
        <v>912</v>
      </c>
    </row>
    <row r="174" spans="2:8">
      <c r="B174" s="89"/>
      <c r="C174" s="89"/>
      <c r="D174" s="68" t="s">
        <v>285</v>
      </c>
      <c r="E174" s="46"/>
      <c r="F174" s="70"/>
      <c r="G174" s="81"/>
      <c r="H174" s="46" t="s">
        <v>913</v>
      </c>
    </row>
    <row r="175" spans="2:8">
      <c r="B175" s="89"/>
      <c r="C175" s="89"/>
      <c r="D175" s="68" t="s">
        <v>286</v>
      </c>
      <c r="E175" s="46"/>
      <c r="F175" s="70"/>
      <c r="G175" s="81"/>
      <c r="H175" s="46" t="s">
        <v>938</v>
      </c>
    </row>
    <row r="176" spans="2:8">
      <c r="B176" s="89"/>
      <c r="C176" s="89"/>
      <c r="D176" s="68" t="s">
        <v>368</v>
      </c>
      <c r="E176" s="46"/>
      <c r="F176" s="70"/>
      <c r="G176" s="81"/>
      <c r="H176" s="46" t="s">
        <v>939</v>
      </c>
    </row>
    <row r="177" spans="2:8">
      <c r="B177" s="89"/>
      <c r="C177" s="89"/>
      <c r="D177" s="68" t="s">
        <v>288</v>
      </c>
      <c r="E177" s="46"/>
      <c r="F177" s="70"/>
      <c r="G177" s="81"/>
      <c r="H177" s="46"/>
    </row>
    <row r="178" spans="2:8">
      <c r="B178" s="89"/>
      <c r="C178" s="89"/>
      <c r="D178" s="68" t="s">
        <v>289</v>
      </c>
      <c r="E178" s="69"/>
      <c r="F178" s="70"/>
      <c r="G178" s="81"/>
      <c r="H178" s="46" t="s">
        <v>940</v>
      </c>
    </row>
    <row r="179" spans="2:8">
      <c r="B179" s="89"/>
      <c r="C179" s="89"/>
      <c r="D179" s="68" t="s">
        <v>290</v>
      </c>
      <c r="E179" s="43"/>
      <c r="F179" s="70"/>
      <c r="G179" s="81"/>
      <c r="H179" s="46" t="s">
        <v>941</v>
      </c>
    </row>
    <row r="180" spans="2:8">
      <c r="B180" s="89"/>
      <c r="C180" s="89"/>
      <c r="D180" s="68" t="s">
        <v>369</v>
      </c>
      <c r="E180" s="43"/>
      <c r="F180" s="70"/>
      <c r="G180" s="81"/>
      <c r="H180" s="46" t="s">
        <v>942</v>
      </c>
    </row>
    <row r="181" spans="2:8">
      <c r="B181" s="89"/>
      <c r="C181" s="89"/>
      <c r="D181" s="68" t="s">
        <v>370</v>
      </c>
      <c r="E181" s="69"/>
      <c r="F181" s="70"/>
      <c r="G181" s="81"/>
      <c r="H181" s="46" t="s">
        <v>943</v>
      </c>
    </row>
    <row r="182" spans="2:8">
      <c r="B182" s="89"/>
      <c r="C182" s="89"/>
      <c r="D182" s="68" t="s">
        <v>366</v>
      </c>
      <c r="E182" s="69"/>
      <c r="F182" s="70"/>
      <c r="G182" s="81"/>
      <c r="H182" s="46" t="s">
        <v>944</v>
      </c>
    </row>
    <row r="183" spans="2:8">
      <c r="B183" s="89"/>
      <c r="C183" s="89"/>
      <c r="D183" s="68" t="s">
        <v>297</v>
      </c>
      <c r="E183" s="48"/>
      <c r="F183" s="70"/>
      <c r="G183" s="81"/>
      <c r="H183" s="46" t="s">
        <v>945</v>
      </c>
    </row>
    <row r="184" spans="2:8">
      <c r="B184" s="89"/>
      <c r="C184" s="89"/>
      <c r="D184" s="68" t="s">
        <v>298</v>
      </c>
      <c r="E184" s="46"/>
      <c r="F184" s="46"/>
      <c r="G184" s="55"/>
      <c r="H184" s="46" t="s">
        <v>946</v>
      </c>
    </row>
    <row r="185" spans="2:8">
      <c r="B185" s="89"/>
      <c r="C185" s="89"/>
      <c r="D185" s="68" t="s">
        <v>299</v>
      </c>
      <c r="E185" s="46"/>
      <c r="F185" s="46"/>
      <c r="G185" s="55"/>
      <c r="H185" s="46" t="s">
        <v>947</v>
      </c>
    </row>
    <row r="186" spans="2:8">
      <c r="B186" s="89"/>
      <c r="C186" s="89"/>
      <c r="D186" s="68" t="s">
        <v>371</v>
      </c>
      <c r="E186" s="46"/>
      <c r="F186" s="70"/>
      <c r="G186" s="81"/>
      <c r="H186" s="46" t="s">
        <v>948</v>
      </c>
    </row>
    <row r="187" spans="2:8">
      <c r="B187" s="89"/>
      <c r="C187" s="89"/>
      <c r="D187" s="68" t="s">
        <v>372</v>
      </c>
      <c r="E187" s="46"/>
      <c r="F187" s="70"/>
      <c r="G187" s="81"/>
      <c r="H187" s="46" t="s">
        <v>949</v>
      </c>
    </row>
    <row r="188" spans="2:8">
      <c r="B188" s="89">
        <v>25</v>
      </c>
      <c r="C188" s="89" t="s">
        <v>98</v>
      </c>
      <c r="D188" s="68" t="s">
        <v>14</v>
      </c>
      <c r="E188" s="69"/>
      <c r="F188" s="70"/>
      <c r="G188" s="81"/>
      <c r="H188" s="46" t="s">
        <v>897</v>
      </c>
    </row>
    <row r="189" spans="2:8">
      <c r="B189" s="89"/>
      <c r="C189" s="89"/>
      <c r="D189" s="68" t="s">
        <v>271</v>
      </c>
      <c r="E189" s="69"/>
      <c r="F189" s="70"/>
      <c r="G189" s="81"/>
      <c r="H189" s="46" t="s">
        <v>898</v>
      </c>
    </row>
    <row r="190" spans="2:8">
      <c r="B190" s="89"/>
      <c r="C190" s="89"/>
      <c r="D190" s="68" t="s">
        <v>272</v>
      </c>
      <c r="E190" s="69"/>
      <c r="F190" s="70"/>
      <c r="G190" s="81"/>
      <c r="H190" s="46" t="s">
        <v>899</v>
      </c>
    </row>
    <row r="191" spans="2:8">
      <c r="B191" s="89"/>
      <c r="C191" s="89"/>
      <c r="D191" s="68" t="s">
        <v>273</v>
      </c>
      <c r="E191" s="69"/>
      <c r="F191" s="70"/>
      <c r="G191" s="81"/>
      <c r="H191" s="46" t="s">
        <v>900</v>
      </c>
    </row>
    <row r="192" spans="2:8">
      <c r="B192" s="89"/>
      <c r="C192" s="89"/>
      <c r="D192" s="68" t="s">
        <v>274</v>
      </c>
      <c r="E192" s="69"/>
      <c r="F192" s="70"/>
      <c r="G192" s="81"/>
      <c r="H192" s="46" t="s">
        <v>901</v>
      </c>
    </row>
    <row r="193" spans="2:8">
      <c r="B193" s="89"/>
      <c r="C193" s="89"/>
      <c r="D193" s="68" t="s">
        <v>275</v>
      </c>
      <c r="E193" s="69"/>
      <c r="F193" s="70"/>
      <c r="G193" s="81"/>
      <c r="H193" s="46" t="s">
        <v>902</v>
      </c>
    </row>
    <row r="194" spans="2:8">
      <c r="B194" s="89"/>
      <c r="C194" s="89"/>
      <c r="D194" s="68" t="s">
        <v>276</v>
      </c>
      <c r="E194" s="69"/>
      <c r="F194" s="70"/>
      <c r="G194" s="81"/>
      <c r="H194" s="46" t="s">
        <v>936</v>
      </c>
    </row>
    <row r="195" spans="2:8">
      <c r="B195" s="89"/>
      <c r="C195" s="89"/>
      <c r="D195" s="68" t="s">
        <v>277</v>
      </c>
      <c r="E195" s="69"/>
      <c r="F195" s="70"/>
      <c r="G195" s="81"/>
      <c r="H195" s="46" t="s">
        <v>904</v>
      </c>
    </row>
    <row r="196" spans="2:8">
      <c r="B196" s="89"/>
      <c r="C196" s="89"/>
      <c r="D196" s="68" t="s">
        <v>278</v>
      </c>
      <c r="E196" s="69"/>
      <c r="F196" s="70"/>
      <c r="G196" s="81"/>
      <c r="H196" s="46" t="s">
        <v>937</v>
      </c>
    </row>
    <row r="197" spans="2:8">
      <c r="B197" s="89"/>
      <c r="C197" s="89"/>
      <c r="D197" s="68" t="s">
        <v>123</v>
      </c>
      <c r="E197" s="46"/>
      <c r="F197" s="70"/>
      <c r="G197" s="81"/>
      <c r="H197" s="46" t="s">
        <v>906</v>
      </c>
    </row>
    <row r="198" spans="2:8">
      <c r="B198" s="89"/>
      <c r="C198" s="89"/>
      <c r="D198" s="68" t="s">
        <v>279</v>
      </c>
      <c r="E198" s="46"/>
      <c r="F198" s="70"/>
      <c r="G198" s="81"/>
      <c r="H198" s="46" t="s">
        <v>907</v>
      </c>
    </row>
    <row r="199" spans="2:8">
      <c r="B199" s="89"/>
      <c r="C199" s="89"/>
      <c r="D199" s="68" t="s">
        <v>280</v>
      </c>
      <c r="E199" s="46"/>
      <c r="F199" s="70"/>
      <c r="G199" s="81"/>
      <c r="H199" s="46" t="s">
        <v>908</v>
      </c>
    </row>
    <row r="200" spans="2:8">
      <c r="B200" s="89"/>
      <c r="C200" s="89"/>
      <c r="D200" s="68" t="s">
        <v>283</v>
      </c>
      <c r="E200" s="46"/>
      <c r="F200" s="70"/>
      <c r="G200" s="81"/>
      <c r="H200" s="46" t="s">
        <v>911</v>
      </c>
    </row>
    <row r="201" spans="2:8">
      <c r="B201" s="89"/>
      <c r="C201" s="89"/>
      <c r="D201" s="68" t="s">
        <v>284</v>
      </c>
      <c r="E201" s="46"/>
      <c r="F201" s="70"/>
      <c r="G201" s="81"/>
      <c r="H201" s="46" t="s">
        <v>912</v>
      </c>
    </row>
    <row r="202" spans="2:8">
      <c r="B202" s="89"/>
      <c r="C202" s="89"/>
      <c r="D202" s="68" t="s">
        <v>285</v>
      </c>
      <c r="E202" s="46"/>
      <c r="F202" s="70"/>
      <c r="G202" s="81"/>
      <c r="H202" s="46" t="s">
        <v>913</v>
      </c>
    </row>
    <row r="203" spans="2:8">
      <c r="B203" s="89"/>
      <c r="C203" s="89"/>
      <c r="D203" s="68" t="s">
        <v>286</v>
      </c>
      <c r="E203" s="46"/>
      <c r="F203" s="70"/>
      <c r="G203" s="81"/>
      <c r="H203" s="46" t="s">
        <v>938</v>
      </c>
    </row>
    <row r="204" spans="2:8">
      <c r="B204" s="89"/>
      <c r="C204" s="89"/>
      <c r="D204" s="68" t="s">
        <v>288</v>
      </c>
      <c r="E204" s="46"/>
      <c r="F204" s="70"/>
      <c r="G204" s="81"/>
      <c r="H204" s="46"/>
    </row>
    <row r="205" spans="2:8">
      <c r="B205" s="89"/>
      <c r="C205" s="89"/>
      <c r="D205" s="68" t="s">
        <v>289</v>
      </c>
      <c r="E205" s="69"/>
      <c r="F205" s="70"/>
      <c r="G205" s="81"/>
      <c r="H205" s="46" t="s">
        <v>940</v>
      </c>
    </row>
    <row r="206" spans="2:8">
      <c r="B206" s="89"/>
      <c r="C206" s="89"/>
      <c r="D206" s="68" t="s">
        <v>290</v>
      </c>
      <c r="E206" s="43"/>
      <c r="F206" s="70"/>
      <c r="G206" s="81"/>
      <c r="H206" s="46" t="s">
        <v>941</v>
      </c>
    </row>
    <row r="207" spans="2:8">
      <c r="B207" s="89"/>
      <c r="C207" s="89"/>
      <c r="D207" s="68" t="s">
        <v>407</v>
      </c>
      <c r="E207" s="48"/>
      <c r="F207" s="70"/>
      <c r="G207" s="81"/>
      <c r="H207" s="46" t="s">
        <v>950</v>
      </c>
    </row>
    <row r="208" spans="2:8">
      <c r="B208" s="89"/>
      <c r="C208" s="89"/>
      <c r="D208" s="68" t="s">
        <v>408</v>
      </c>
      <c r="E208" s="46"/>
      <c r="F208" s="70"/>
      <c r="G208" s="81"/>
      <c r="H208" s="46" t="s">
        <v>951</v>
      </c>
    </row>
    <row r="209" spans="2:8">
      <c r="B209" s="89"/>
      <c r="C209" s="89"/>
      <c r="D209" s="68" t="s">
        <v>297</v>
      </c>
      <c r="E209" s="69"/>
      <c r="F209" s="70"/>
      <c r="G209" s="81"/>
      <c r="H209" s="46"/>
    </row>
    <row r="210" spans="2:8">
      <c r="B210" s="89"/>
      <c r="C210" s="89"/>
      <c r="D210" s="68" t="s">
        <v>298</v>
      </c>
      <c r="E210" s="46"/>
      <c r="F210" s="48"/>
      <c r="G210" s="82"/>
      <c r="H210" s="46" t="s">
        <v>946</v>
      </c>
    </row>
    <row r="211" spans="2:8">
      <c r="B211" s="89"/>
      <c r="C211" s="89"/>
      <c r="D211" s="68" t="s">
        <v>299</v>
      </c>
      <c r="E211" s="46"/>
      <c r="F211" s="48"/>
      <c r="G211" s="82"/>
      <c r="H211" s="46" t="s">
        <v>947</v>
      </c>
    </row>
    <row r="212" spans="2:8">
      <c r="B212" s="89"/>
      <c r="C212" s="89"/>
      <c r="D212" s="68" t="s">
        <v>409</v>
      </c>
      <c r="E212" s="46"/>
      <c r="F212" s="48"/>
      <c r="G212" s="82"/>
      <c r="H212" s="46" t="s">
        <v>952</v>
      </c>
    </row>
    <row r="213" spans="2:8">
      <c r="B213" s="89">
        <v>26</v>
      </c>
      <c r="C213" s="89" t="s">
        <v>99</v>
      </c>
      <c r="D213" s="68" t="s">
        <v>442</v>
      </c>
      <c r="E213" s="69"/>
      <c r="F213" s="70"/>
      <c r="G213" s="81"/>
      <c r="H213" s="46" t="s">
        <v>953</v>
      </c>
    </row>
    <row r="214" spans="2:8">
      <c r="B214" s="89"/>
      <c r="C214" s="89"/>
      <c r="D214" s="68" t="s">
        <v>443</v>
      </c>
      <c r="E214" s="46"/>
      <c r="F214" s="70"/>
      <c r="G214" s="81"/>
      <c r="H214" s="46" t="s">
        <v>13</v>
      </c>
    </row>
    <row r="215" spans="2:8">
      <c r="B215" s="89"/>
      <c r="C215" s="89"/>
      <c r="D215" s="68" t="s">
        <v>444</v>
      </c>
      <c r="E215" s="46"/>
      <c r="F215" s="70"/>
      <c r="G215" s="81"/>
      <c r="H215" s="46" t="s">
        <v>954</v>
      </c>
    </row>
    <row r="216" spans="2:8">
      <c r="B216" s="89"/>
      <c r="C216" s="89"/>
      <c r="D216" s="68" t="s">
        <v>445</v>
      </c>
      <c r="E216" s="46"/>
      <c r="F216" s="70"/>
      <c r="G216" s="81"/>
      <c r="H216" s="46" t="s">
        <v>955</v>
      </c>
    </row>
    <row r="217" spans="2:8">
      <c r="B217" s="89"/>
      <c r="C217" s="89"/>
      <c r="D217" s="68" t="s">
        <v>446</v>
      </c>
      <c r="E217" s="46"/>
      <c r="F217" s="70"/>
      <c r="G217" s="81"/>
      <c r="H217" s="46" t="s">
        <v>956</v>
      </c>
    </row>
    <row r="218" spans="2:8">
      <c r="B218" s="89"/>
      <c r="C218" s="89"/>
      <c r="D218" s="68" t="s">
        <v>447</v>
      </c>
      <c r="E218" s="46"/>
      <c r="F218" s="70"/>
      <c r="G218" s="81"/>
      <c r="H218" s="46" t="s">
        <v>957</v>
      </c>
    </row>
    <row r="219" spans="2:8">
      <c r="B219" s="89"/>
      <c r="C219" s="89"/>
      <c r="D219" s="68" t="s">
        <v>448</v>
      </c>
      <c r="E219" s="46"/>
      <c r="F219" s="70"/>
      <c r="G219" s="81"/>
      <c r="H219" s="46" t="s">
        <v>958</v>
      </c>
    </row>
    <row r="220" spans="2:8">
      <c r="B220" s="89">
        <v>27</v>
      </c>
      <c r="C220" s="89" t="s">
        <v>100</v>
      </c>
      <c r="D220" s="68" t="s">
        <v>453</v>
      </c>
      <c r="E220" s="46"/>
      <c r="F220" s="70"/>
      <c r="G220" s="81"/>
      <c r="H220" s="46" t="s">
        <v>959</v>
      </c>
    </row>
    <row r="221" spans="2:8">
      <c r="B221" s="89"/>
      <c r="C221" s="89"/>
      <c r="D221" s="68" t="s">
        <v>454</v>
      </c>
      <c r="E221" s="46"/>
      <c r="F221" s="70"/>
      <c r="G221" s="81"/>
      <c r="H221" s="46" t="s">
        <v>960</v>
      </c>
    </row>
    <row r="222" spans="2:8">
      <c r="B222" s="89"/>
      <c r="C222" s="89"/>
      <c r="D222" s="68" t="s">
        <v>455</v>
      </c>
      <c r="E222" s="46"/>
      <c r="F222" s="70"/>
      <c r="G222" s="81"/>
      <c r="H222" s="46" t="s">
        <v>961</v>
      </c>
    </row>
    <row r="223" spans="2:8">
      <c r="B223" s="89"/>
      <c r="C223" s="89"/>
      <c r="D223" s="68" t="s">
        <v>456</v>
      </c>
      <c r="E223" s="46"/>
      <c r="F223" s="70"/>
      <c r="G223" s="81"/>
      <c r="H223" s="46" t="s">
        <v>962</v>
      </c>
    </row>
    <row r="224" spans="2:8">
      <c r="B224" s="89"/>
      <c r="C224" s="89"/>
      <c r="D224" s="68" t="s">
        <v>457</v>
      </c>
      <c r="E224" s="46"/>
      <c r="F224" s="70"/>
      <c r="G224" s="81"/>
      <c r="H224" s="46" t="s">
        <v>963</v>
      </c>
    </row>
    <row r="225" spans="2:8">
      <c r="B225" s="89"/>
      <c r="C225" s="89"/>
      <c r="D225" s="68" t="s">
        <v>458</v>
      </c>
      <c r="E225" s="46"/>
      <c r="F225" s="70"/>
      <c r="G225" s="81"/>
      <c r="H225" s="46" t="s">
        <v>964</v>
      </c>
    </row>
    <row r="226" spans="2:8">
      <c r="B226" s="89"/>
      <c r="C226" s="89"/>
      <c r="D226" s="68" t="s">
        <v>459</v>
      </c>
      <c r="E226" s="46"/>
      <c r="F226" s="70"/>
      <c r="G226" s="81"/>
      <c r="H226" s="46" t="s">
        <v>965</v>
      </c>
    </row>
    <row r="227" spans="2:8">
      <c r="B227" s="89"/>
      <c r="C227" s="89"/>
      <c r="D227" s="68" t="s">
        <v>966</v>
      </c>
      <c r="E227" s="46"/>
      <c r="F227" s="70"/>
      <c r="G227" s="81"/>
      <c r="H227" s="46" t="s">
        <v>967</v>
      </c>
    </row>
    <row r="228" spans="2:8">
      <c r="B228" s="89">
        <v>28</v>
      </c>
      <c r="C228" s="89" t="s">
        <v>101</v>
      </c>
      <c r="D228" s="68" t="s">
        <v>464</v>
      </c>
      <c r="E228" s="69"/>
      <c r="F228" s="70"/>
      <c r="G228" s="81"/>
      <c r="H228" s="46" t="s">
        <v>968</v>
      </c>
    </row>
    <row r="229" spans="2:8">
      <c r="B229" s="89"/>
      <c r="C229" s="89"/>
      <c r="D229" s="68" t="s">
        <v>465</v>
      </c>
      <c r="E229" s="46"/>
      <c r="F229" s="48"/>
      <c r="G229" s="82"/>
      <c r="H229" s="46" t="s">
        <v>788</v>
      </c>
    </row>
    <row r="230" spans="2:8">
      <c r="B230" s="89"/>
      <c r="C230" s="89"/>
      <c r="D230" s="68" t="s">
        <v>466</v>
      </c>
      <c r="E230" s="69"/>
      <c r="F230" s="70"/>
      <c r="G230" s="81"/>
      <c r="H230" s="46" t="s">
        <v>969</v>
      </c>
    </row>
    <row r="231" spans="2:8">
      <c r="B231" s="89"/>
      <c r="C231" s="89"/>
      <c r="D231" s="68" t="s">
        <v>467</v>
      </c>
      <c r="E231" s="69"/>
      <c r="F231" s="70"/>
      <c r="G231" s="81"/>
      <c r="H231" s="46"/>
    </row>
    <row r="232" spans="2:8">
      <c r="B232" s="89"/>
      <c r="C232" s="89"/>
      <c r="D232" s="68" t="s">
        <v>468</v>
      </c>
      <c r="E232" s="69"/>
      <c r="F232" s="70"/>
      <c r="G232" s="81"/>
      <c r="H232" s="46"/>
    </row>
    <row r="233" spans="2:8">
      <c r="B233" s="89"/>
      <c r="C233" s="89"/>
      <c r="D233" s="68" t="s">
        <v>469</v>
      </c>
      <c r="E233" s="69"/>
      <c r="F233" s="70"/>
      <c r="G233" s="81"/>
      <c r="H233" s="46"/>
    </row>
    <row r="234" spans="2:8">
      <c r="B234" s="89"/>
      <c r="C234" s="89"/>
      <c r="D234" s="68" t="s">
        <v>470</v>
      </c>
      <c r="E234" s="69"/>
      <c r="F234" s="70"/>
      <c r="G234" s="81"/>
      <c r="H234" s="46"/>
    </row>
    <row r="235" spans="2:8">
      <c r="B235" s="89"/>
      <c r="C235" s="89"/>
      <c r="D235" s="68" t="s">
        <v>471</v>
      </c>
      <c r="E235" s="69"/>
      <c r="F235" s="70"/>
      <c r="G235" s="81"/>
      <c r="H235" s="46"/>
    </row>
    <row r="236" spans="2:8">
      <c r="B236" s="89"/>
      <c r="C236" s="89"/>
      <c r="D236" s="68" t="s">
        <v>472</v>
      </c>
      <c r="E236" s="69"/>
      <c r="F236" s="70"/>
      <c r="G236" s="81"/>
      <c r="H236" s="46"/>
    </row>
    <row r="237" spans="2:8">
      <c r="B237" s="89"/>
      <c r="C237" s="89"/>
      <c r="D237" s="68" t="s">
        <v>473</v>
      </c>
      <c r="E237" s="69"/>
      <c r="F237" s="70"/>
      <c r="G237" s="81"/>
      <c r="H237" s="46"/>
    </row>
    <row r="238" spans="2:8">
      <c r="B238" s="89"/>
      <c r="C238" s="89"/>
      <c r="D238" s="68" t="s">
        <v>474</v>
      </c>
      <c r="E238" s="69"/>
      <c r="F238" s="70"/>
      <c r="G238" s="81"/>
      <c r="H238" s="46"/>
    </row>
    <row r="239" spans="2:8">
      <c r="B239" s="89">
        <v>29</v>
      </c>
      <c r="C239" s="89" t="s">
        <v>102</v>
      </c>
      <c r="D239" s="68" t="s">
        <v>569</v>
      </c>
      <c r="E239" s="69"/>
      <c r="F239" s="70"/>
      <c r="G239" s="81"/>
      <c r="H239" s="46" t="s">
        <v>970</v>
      </c>
    </row>
    <row r="240" spans="2:8">
      <c r="B240" s="89"/>
      <c r="C240" s="89"/>
      <c r="D240" s="68" t="s">
        <v>171</v>
      </c>
      <c r="E240" s="69"/>
      <c r="F240" s="70"/>
      <c r="G240" s="81"/>
      <c r="H240" s="46" t="s">
        <v>971</v>
      </c>
    </row>
    <row r="241" spans="2:8">
      <c r="B241" s="89"/>
      <c r="C241" s="89"/>
      <c r="D241" s="68" t="s">
        <v>60</v>
      </c>
      <c r="E241" s="48"/>
      <c r="F241" s="48"/>
      <c r="G241" s="82"/>
      <c r="H241" s="46" t="s">
        <v>788</v>
      </c>
    </row>
    <row r="242" spans="2:8">
      <c r="B242" s="89"/>
      <c r="C242" s="89"/>
      <c r="D242" s="68" t="s">
        <v>153</v>
      </c>
      <c r="E242" s="69"/>
      <c r="F242" s="70"/>
      <c r="G242" s="81"/>
      <c r="H242" s="46" t="s">
        <v>972</v>
      </c>
    </row>
    <row r="243" spans="2:8">
      <c r="B243" s="89"/>
      <c r="C243" s="89"/>
      <c r="D243" s="68" t="s">
        <v>494</v>
      </c>
      <c r="E243" s="69"/>
      <c r="F243" s="70"/>
      <c r="G243" s="81"/>
      <c r="H243" s="46" t="s">
        <v>973</v>
      </c>
    </row>
    <row r="244" spans="2:8">
      <c r="B244" s="89"/>
      <c r="C244" s="89"/>
      <c r="D244" s="68" t="s">
        <v>630</v>
      </c>
      <c r="E244" s="69"/>
      <c r="F244" s="70"/>
      <c r="G244" s="81"/>
      <c r="H244" s="46" t="s">
        <v>974</v>
      </c>
    </row>
    <row r="245" spans="2:8">
      <c r="B245" s="89"/>
      <c r="C245" s="89"/>
      <c r="D245" s="68" t="s">
        <v>496</v>
      </c>
      <c r="E245" s="69"/>
      <c r="F245" s="70"/>
      <c r="G245" s="81"/>
      <c r="H245" s="46" t="s">
        <v>975</v>
      </c>
    </row>
    <row r="246" spans="2:8">
      <c r="B246" s="89"/>
      <c r="C246" s="89"/>
      <c r="D246" s="68" t="s">
        <v>631</v>
      </c>
      <c r="E246" s="69"/>
      <c r="F246" s="70"/>
      <c r="G246" s="81"/>
      <c r="H246" s="46" t="s">
        <v>976</v>
      </c>
    </row>
    <row r="247" spans="2:8">
      <c r="B247" s="89"/>
      <c r="C247" s="89"/>
      <c r="D247" s="68" t="s">
        <v>498</v>
      </c>
      <c r="E247" s="69"/>
      <c r="F247" s="70"/>
      <c r="G247" s="81"/>
      <c r="H247" s="46" t="s">
        <v>977</v>
      </c>
    </row>
    <row r="248" spans="2:8">
      <c r="B248" s="89"/>
      <c r="C248" s="89"/>
      <c r="D248" s="68" t="s">
        <v>499</v>
      </c>
      <c r="E248" s="69"/>
      <c r="F248" s="70"/>
      <c r="G248" s="81"/>
      <c r="H248" s="46" t="s">
        <v>978</v>
      </c>
    </row>
    <row r="249" spans="2:8">
      <c r="B249" s="89"/>
      <c r="C249" s="89"/>
      <c r="D249" s="68" t="s">
        <v>174</v>
      </c>
      <c r="E249" s="69"/>
      <c r="F249" s="70"/>
      <c r="G249" s="81"/>
      <c r="H249" s="46" t="s">
        <v>979</v>
      </c>
    </row>
    <row r="250" spans="2:8">
      <c r="B250" s="89"/>
      <c r="C250" s="89"/>
      <c r="D250" s="68" t="s">
        <v>500</v>
      </c>
      <c r="E250" s="69"/>
      <c r="F250" s="70"/>
      <c r="G250" s="81"/>
      <c r="H250" s="46" t="s">
        <v>980</v>
      </c>
    </row>
    <row r="251" spans="2:8">
      <c r="B251" s="89"/>
      <c r="C251" s="89"/>
      <c r="D251" s="68" t="s">
        <v>501</v>
      </c>
      <c r="E251" s="69"/>
      <c r="F251" s="70"/>
      <c r="G251" s="81"/>
      <c r="H251" s="46" t="s">
        <v>981</v>
      </c>
    </row>
    <row r="252" spans="2:8">
      <c r="B252" s="89"/>
      <c r="C252" s="89"/>
      <c r="D252" s="68" t="s">
        <v>982</v>
      </c>
      <c r="E252" s="69"/>
      <c r="F252" s="70"/>
      <c r="G252" s="81"/>
      <c r="H252" s="46" t="s">
        <v>983</v>
      </c>
    </row>
    <row r="253" spans="2:8">
      <c r="B253" s="89"/>
      <c r="C253" s="89"/>
      <c r="D253" s="68" t="s">
        <v>984</v>
      </c>
      <c r="E253" s="69"/>
      <c r="F253" s="70"/>
      <c r="G253" s="81"/>
      <c r="H253" s="46" t="s">
        <v>985</v>
      </c>
    </row>
    <row r="254" spans="2:8">
      <c r="B254" s="89"/>
      <c r="C254" s="89"/>
      <c r="D254" s="68" t="s">
        <v>986</v>
      </c>
      <c r="E254" s="69"/>
      <c r="F254" s="70"/>
      <c r="G254" s="81"/>
      <c r="H254" s="46" t="s">
        <v>987</v>
      </c>
    </row>
    <row r="255" spans="2:8">
      <c r="B255" s="89"/>
      <c r="C255" s="89"/>
      <c r="D255" s="68" t="s">
        <v>505</v>
      </c>
      <c r="E255" s="69"/>
      <c r="F255" s="70"/>
      <c r="G255" s="81"/>
      <c r="H255" s="46" t="s">
        <v>988</v>
      </c>
    </row>
    <row r="256" spans="2:8">
      <c r="B256" s="89"/>
      <c r="C256" s="89"/>
      <c r="D256" s="68" t="s">
        <v>989</v>
      </c>
      <c r="E256" s="69"/>
      <c r="F256" s="70"/>
      <c r="G256" s="81"/>
      <c r="H256" s="46" t="s">
        <v>990</v>
      </c>
    </row>
    <row r="257" spans="2:8">
      <c r="B257" s="89"/>
      <c r="C257" s="89"/>
      <c r="D257" s="68" t="s">
        <v>991</v>
      </c>
      <c r="E257" s="46"/>
      <c r="F257" s="70"/>
      <c r="G257" s="81"/>
      <c r="H257" s="46" t="s">
        <v>992</v>
      </c>
    </row>
    <row r="258" spans="2:8">
      <c r="B258" s="89"/>
      <c r="C258" s="89"/>
      <c r="D258" s="68" t="s">
        <v>508</v>
      </c>
      <c r="E258" s="69"/>
      <c r="F258" s="70"/>
      <c r="G258" s="81"/>
      <c r="H258" s="46" t="s">
        <v>993</v>
      </c>
    </row>
    <row r="259" spans="2:8">
      <c r="B259" s="89"/>
      <c r="C259" s="89"/>
      <c r="D259" s="68" t="s">
        <v>509</v>
      </c>
      <c r="E259" s="46"/>
      <c r="F259" s="70"/>
      <c r="G259" s="81"/>
      <c r="H259" s="46" t="s">
        <v>994</v>
      </c>
    </row>
    <row r="260" spans="2:8">
      <c r="B260" s="89"/>
      <c r="C260" s="89"/>
      <c r="D260" s="68" t="s">
        <v>995</v>
      </c>
      <c r="E260" s="48"/>
      <c r="F260" s="70"/>
      <c r="G260" s="81"/>
      <c r="H260" s="46" t="s">
        <v>996</v>
      </c>
    </row>
    <row r="261" spans="2:8">
      <c r="B261" s="89"/>
      <c r="C261" s="89"/>
      <c r="D261" s="68" t="s">
        <v>123</v>
      </c>
      <c r="E261" s="46"/>
      <c r="F261" s="70"/>
      <c r="G261" s="81"/>
      <c r="H261" s="46" t="s">
        <v>997</v>
      </c>
    </row>
    <row r="262" spans="2:8">
      <c r="B262" s="89"/>
      <c r="C262" s="89"/>
      <c r="D262" s="68" t="s">
        <v>511</v>
      </c>
      <c r="E262" s="46"/>
      <c r="F262" s="70"/>
      <c r="G262" s="81"/>
      <c r="H262" s="46" t="s">
        <v>998</v>
      </c>
    </row>
    <row r="263" spans="2:8">
      <c r="B263" s="89"/>
      <c r="C263" s="89"/>
      <c r="D263" s="68" t="s">
        <v>654</v>
      </c>
      <c r="E263" s="46"/>
      <c r="F263" s="70"/>
      <c r="G263" s="81"/>
      <c r="H263" s="46" t="s">
        <v>999</v>
      </c>
    </row>
    <row r="264" spans="2:8">
      <c r="B264" s="89"/>
      <c r="C264" s="89"/>
      <c r="D264" s="68" t="s">
        <v>637</v>
      </c>
      <c r="E264" s="46"/>
      <c r="F264" s="70"/>
      <c r="G264" s="81"/>
      <c r="H264" s="46" t="s">
        <v>1000</v>
      </c>
    </row>
    <row r="265" spans="2:8">
      <c r="B265" s="89"/>
      <c r="C265" s="89"/>
      <c r="D265" s="68" t="s">
        <v>638</v>
      </c>
      <c r="E265" s="46"/>
      <c r="F265" s="70"/>
      <c r="G265" s="81"/>
      <c r="H265" s="46" t="s">
        <v>1001</v>
      </c>
    </row>
    <row r="266" spans="2:8">
      <c r="B266" s="89"/>
      <c r="C266" s="89"/>
      <c r="D266" s="68" t="s">
        <v>177</v>
      </c>
      <c r="E266" s="48"/>
      <c r="F266" s="70"/>
      <c r="G266" s="81"/>
      <c r="H266" s="46" t="s">
        <v>1002</v>
      </c>
    </row>
    <row r="267" spans="2:8">
      <c r="B267" s="89"/>
      <c r="C267" s="89"/>
      <c r="D267" s="68" t="s">
        <v>1003</v>
      </c>
      <c r="E267" s="46"/>
      <c r="F267" s="48"/>
      <c r="G267" s="82"/>
      <c r="H267" s="46" t="s">
        <v>1004</v>
      </c>
    </row>
    <row r="268" spans="2:8">
      <c r="B268" s="89"/>
      <c r="C268" s="89"/>
      <c r="D268" s="68" t="s">
        <v>1005</v>
      </c>
      <c r="E268" s="46"/>
      <c r="F268" s="70"/>
      <c r="G268" s="81"/>
      <c r="H268" s="46" t="s">
        <v>1006</v>
      </c>
    </row>
    <row r="269" spans="2:8">
      <c r="B269" s="89"/>
      <c r="C269" s="89"/>
      <c r="D269" s="68" t="s">
        <v>1007</v>
      </c>
      <c r="E269" s="46"/>
      <c r="F269" s="70"/>
      <c r="G269" s="81"/>
      <c r="H269" s="46" t="s">
        <v>1008</v>
      </c>
    </row>
    <row r="270" spans="2:8">
      <c r="B270" s="89"/>
      <c r="C270" s="89"/>
      <c r="D270" s="68" t="s">
        <v>1009</v>
      </c>
      <c r="E270" s="46"/>
      <c r="F270" s="70"/>
      <c r="G270" s="81"/>
      <c r="H270" s="46" t="s">
        <v>1008</v>
      </c>
    </row>
    <row r="271" spans="2:8">
      <c r="B271" s="89">
        <v>30</v>
      </c>
      <c r="C271" s="89" t="s">
        <v>103</v>
      </c>
      <c r="D271" s="73" t="s">
        <v>569</v>
      </c>
      <c r="E271" s="69"/>
      <c r="F271" s="70"/>
      <c r="G271" s="81"/>
      <c r="H271" s="46" t="s">
        <v>1010</v>
      </c>
    </row>
    <row r="272" spans="2:8">
      <c r="B272" s="89"/>
      <c r="C272" s="89"/>
      <c r="D272" s="73" t="s">
        <v>464</v>
      </c>
      <c r="E272" s="69"/>
      <c r="F272" s="70"/>
      <c r="G272" s="81"/>
      <c r="H272" s="46" t="s">
        <v>1011</v>
      </c>
    </row>
    <row r="273" spans="2:8">
      <c r="B273" s="89"/>
      <c r="C273" s="89"/>
      <c r="D273" s="73" t="s">
        <v>465</v>
      </c>
      <c r="E273" s="48"/>
      <c r="F273" s="48"/>
      <c r="G273" s="82"/>
      <c r="H273" s="46" t="s">
        <v>848</v>
      </c>
    </row>
    <row r="274" spans="2:8">
      <c r="B274" s="89"/>
      <c r="C274" s="89"/>
      <c r="D274" s="73" t="s">
        <v>493</v>
      </c>
      <c r="E274" s="69"/>
      <c r="F274" s="70"/>
      <c r="G274" s="81"/>
      <c r="H274" s="46" t="s">
        <v>1012</v>
      </c>
    </row>
    <row r="275" spans="2:8">
      <c r="B275" s="89"/>
      <c r="C275" s="89"/>
      <c r="D275" s="73" t="s">
        <v>494</v>
      </c>
      <c r="E275" s="69"/>
      <c r="F275" s="70"/>
      <c r="G275" s="81"/>
      <c r="H275" s="46" t="s">
        <v>1013</v>
      </c>
    </row>
    <row r="276" spans="2:8">
      <c r="B276" s="89"/>
      <c r="C276" s="89"/>
      <c r="D276" s="73" t="s">
        <v>495</v>
      </c>
      <c r="E276" s="69"/>
      <c r="F276" s="70"/>
      <c r="G276" s="81"/>
      <c r="H276" s="46" t="s">
        <v>1014</v>
      </c>
    </row>
    <row r="277" spans="2:8">
      <c r="B277" s="89"/>
      <c r="C277" s="89"/>
      <c r="D277" s="73" t="s">
        <v>496</v>
      </c>
      <c r="E277" s="69"/>
      <c r="F277" s="70"/>
      <c r="G277" s="81"/>
      <c r="H277" s="46" t="s">
        <v>1015</v>
      </c>
    </row>
    <row r="278" spans="2:8">
      <c r="B278" s="89"/>
      <c r="C278" s="89"/>
      <c r="D278" s="73" t="s">
        <v>497</v>
      </c>
      <c r="E278" s="69"/>
      <c r="F278" s="70"/>
      <c r="G278" s="81"/>
      <c r="H278" s="46" t="s">
        <v>4</v>
      </c>
    </row>
    <row r="279" spans="2:8">
      <c r="B279" s="89"/>
      <c r="C279" s="89"/>
      <c r="D279" s="73" t="s">
        <v>498</v>
      </c>
      <c r="E279" s="69"/>
      <c r="F279" s="70"/>
      <c r="G279" s="81"/>
      <c r="H279" s="46" t="s">
        <v>1016</v>
      </c>
    </row>
    <row r="280" spans="2:8">
      <c r="B280" s="89"/>
      <c r="C280" s="89"/>
      <c r="D280" s="73" t="s">
        <v>499</v>
      </c>
      <c r="E280" s="69"/>
      <c r="F280" s="70"/>
      <c r="G280" s="81"/>
      <c r="H280" s="46" t="s">
        <v>1017</v>
      </c>
    </row>
    <row r="281" spans="2:8">
      <c r="B281" s="89"/>
      <c r="C281" s="89"/>
      <c r="D281" s="73" t="s">
        <v>174</v>
      </c>
      <c r="E281" s="69"/>
      <c r="F281" s="70"/>
      <c r="G281" s="81"/>
      <c r="H281" s="46" t="s">
        <v>1018</v>
      </c>
    </row>
    <row r="282" spans="2:8">
      <c r="B282" s="89"/>
      <c r="C282" s="89"/>
      <c r="D282" s="73" t="s">
        <v>501</v>
      </c>
      <c r="E282" s="69"/>
      <c r="F282" s="70"/>
      <c r="G282" s="81"/>
      <c r="H282" s="46" t="s">
        <v>1019</v>
      </c>
    </row>
    <row r="283" spans="2:8" ht="66">
      <c r="B283" s="89"/>
      <c r="C283" s="89"/>
      <c r="D283" s="73" t="s">
        <v>570</v>
      </c>
      <c r="E283" s="46"/>
      <c r="F283" s="70"/>
      <c r="G283" s="81"/>
      <c r="H283" s="54" t="s">
        <v>1020</v>
      </c>
    </row>
    <row r="284" spans="2:8" ht="33">
      <c r="B284" s="89"/>
      <c r="C284" s="89"/>
      <c r="D284" s="73" t="s">
        <v>571</v>
      </c>
      <c r="E284" s="46"/>
      <c r="F284" s="70"/>
      <c r="G284" s="81"/>
      <c r="H284" s="54" t="s">
        <v>1021</v>
      </c>
    </row>
    <row r="285" spans="2:8" ht="66">
      <c r="B285" s="89"/>
      <c r="C285" s="89"/>
      <c r="D285" s="73" t="s">
        <v>572</v>
      </c>
      <c r="E285" s="46"/>
      <c r="F285" s="70"/>
      <c r="G285" s="81"/>
      <c r="H285" s="54" t="s">
        <v>1022</v>
      </c>
    </row>
    <row r="286" spans="2:8">
      <c r="B286" s="89"/>
      <c r="C286" s="89"/>
      <c r="D286" s="73" t="s">
        <v>573</v>
      </c>
      <c r="E286" s="46"/>
      <c r="F286" s="70"/>
      <c r="G286" s="81"/>
      <c r="H286" s="46" t="s">
        <v>1023</v>
      </c>
    </row>
    <row r="287" spans="2:8">
      <c r="B287" s="89"/>
      <c r="C287" s="89"/>
      <c r="D287" s="73" t="s">
        <v>574</v>
      </c>
      <c r="E287" s="46"/>
      <c r="F287" s="70"/>
      <c r="G287" s="81"/>
      <c r="H287" s="46" t="s">
        <v>1024</v>
      </c>
    </row>
    <row r="288" spans="2:8">
      <c r="B288" s="89"/>
      <c r="C288" s="89"/>
      <c r="D288" s="73" t="s">
        <v>575</v>
      </c>
      <c r="E288" s="46"/>
      <c r="F288" s="70"/>
      <c r="G288" s="81"/>
      <c r="H288" s="46" t="s">
        <v>1025</v>
      </c>
    </row>
    <row r="289" spans="2:8" ht="33">
      <c r="B289" s="89"/>
      <c r="C289" s="89"/>
      <c r="D289" s="73" t="s">
        <v>576</v>
      </c>
      <c r="E289" s="46"/>
      <c r="F289" s="70"/>
      <c r="G289" s="81"/>
      <c r="H289" s="54" t="s">
        <v>1026</v>
      </c>
    </row>
    <row r="290" spans="2:8" ht="49.5">
      <c r="B290" s="89"/>
      <c r="C290" s="89"/>
      <c r="D290" s="73" t="s">
        <v>577</v>
      </c>
      <c r="E290" s="46"/>
      <c r="F290" s="70"/>
      <c r="G290" s="81"/>
      <c r="H290" s="54" t="s">
        <v>1027</v>
      </c>
    </row>
    <row r="291" spans="2:8">
      <c r="B291" s="89"/>
      <c r="C291" s="89"/>
      <c r="D291" s="73" t="s">
        <v>509</v>
      </c>
      <c r="E291" s="46"/>
      <c r="F291" s="70"/>
      <c r="G291" s="81"/>
      <c r="H291" s="46" t="s">
        <v>1028</v>
      </c>
    </row>
    <row r="292" spans="2:8">
      <c r="B292" s="89"/>
      <c r="C292" s="89"/>
      <c r="D292" s="73" t="s">
        <v>578</v>
      </c>
      <c r="E292" s="46"/>
      <c r="F292" s="70"/>
      <c r="G292" s="81"/>
      <c r="H292" s="46" t="s">
        <v>1029</v>
      </c>
    </row>
    <row r="293" spans="2:8">
      <c r="B293" s="89"/>
      <c r="C293" s="89"/>
      <c r="D293" s="73" t="s">
        <v>579</v>
      </c>
      <c r="E293" s="46"/>
      <c r="F293" s="70"/>
      <c r="G293" s="81"/>
      <c r="H293" s="46" t="s">
        <v>1030</v>
      </c>
    </row>
    <row r="294" spans="2:8" ht="49.5">
      <c r="B294" s="89"/>
      <c r="C294" s="89"/>
      <c r="D294" s="73" t="s">
        <v>580</v>
      </c>
      <c r="E294" s="46"/>
      <c r="F294" s="70"/>
      <c r="G294" s="81"/>
      <c r="H294" s="54" t="s">
        <v>1031</v>
      </c>
    </row>
    <row r="295" spans="2:8">
      <c r="B295" s="89"/>
      <c r="C295" s="89"/>
      <c r="D295" s="73" t="s">
        <v>296</v>
      </c>
      <c r="E295" s="69"/>
      <c r="F295" s="70"/>
      <c r="G295" s="81"/>
      <c r="H295" s="46" t="s">
        <v>1032</v>
      </c>
    </row>
    <row r="296" spans="2:8">
      <c r="B296" s="89"/>
      <c r="C296" s="89"/>
      <c r="D296" s="73" t="s">
        <v>293</v>
      </c>
      <c r="E296" s="69"/>
      <c r="F296" s="70"/>
      <c r="G296" s="81"/>
      <c r="H296" s="46" t="s">
        <v>1033</v>
      </c>
    </row>
    <row r="297" spans="2:8">
      <c r="B297" s="89"/>
      <c r="C297" s="89"/>
      <c r="D297" s="73" t="s">
        <v>581</v>
      </c>
      <c r="E297" s="46"/>
      <c r="F297" s="70"/>
      <c r="G297" s="81"/>
      <c r="H297" s="46" t="s">
        <v>1034</v>
      </c>
    </row>
    <row r="298" spans="2:8">
      <c r="B298" s="89"/>
      <c r="C298" s="89"/>
      <c r="D298" s="73" t="s">
        <v>582</v>
      </c>
      <c r="E298" s="46"/>
      <c r="F298" s="70"/>
      <c r="G298" s="81"/>
      <c r="H298" s="46" t="s">
        <v>1035</v>
      </c>
    </row>
    <row r="299" spans="2:8">
      <c r="B299" s="89"/>
      <c r="C299" s="89"/>
      <c r="D299" s="73" t="s">
        <v>583</v>
      </c>
      <c r="E299" s="46"/>
      <c r="F299" s="70"/>
      <c r="G299" s="81"/>
      <c r="H299" s="46" t="s">
        <v>5</v>
      </c>
    </row>
    <row r="300" spans="2:8">
      <c r="B300" s="89"/>
      <c r="C300" s="89"/>
      <c r="D300" s="73" t="s">
        <v>511</v>
      </c>
      <c r="E300" s="46"/>
      <c r="F300" s="70"/>
      <c r="G300" s="81"/>
      <c r="H300" s="46" t="s">
        <v>1036</v>
      </c>
    </row>
    <row r="301" spans="2:8">
      <c r="B301" s="89"/>
      <c r="C301" s="89"/>
      <c r="D301" s="73" t="s">
        <v>512</v>
      </c>
      <c r="E301" s="46"/>
      <c r="F301" s="70"/>
      <c r="G301" s="81"/>
      <c r="H301" s="46" t="s">
        <v>1037</v>
      </c>
    </row>
    <row r="302" spans="2:8">
      <c r="B302" s="89"/>
      <c r="C302" s="89"/>
      <c r="D302" s="73" t="s">
        <v>513</v>
      </c>
      <c r="E302" s="46"/>
      <c r="F302" s="70"/>
      <c r="G302" s="81"/>
      <c r="H302" s="46" t="s">
        <v>1038</v>
      </c>
    </row>
    <row r="303" spans="2:8">
      <c r="B303" s="89"/>
      <c r="C303" s="89"/>
      <c r="D303" s="73" t="s">
        <v>514</v>
      </c>
      <c r="E303" s="46"/>
      <c r="F303" s="70"/>
      <c r="G303" s="81"/>
      <c r="H303" s="46" t="s">
        <v>1039</v>
      </c>
    </row>
    <row r="304" spans="2:8">
      <c r="B304" s="89"/>
      <c r="C304" s="89"/>
      <c r="D304" s="73" t="s">
        <v>518</v>
      </c>
      <c r="E304" s="46"/>
      <c r="F304" s="70"/>
      <c r="G304" s="81"/>
      <c r="H304" s="46" t="s">
        <v>1040</v>
      </c>
    </row>
    <row r="305" spans="2:8">
      <c r="B305" s="89"/>
      <c r="C305" s="89"/>
      <c r="D305" s="73" t="s">
        <v>519</v>
      </c>
      <c r="E305" s="46"/>
      <c r="F305" s="70"/>
      <c r="G305" s="81"/>
      <c r="H305" s="46" t="s">
        <v>1041</v>
      </c>
    </row>
    <row r="306" spans="2:8">
      <c r="B306" s="89"/>
      <c r="C306" s="89"/>
      <c r="D306" s="73" t="s">
        <v>281</v>
      </c>
      <c r="E306" s="46"/>
      <c r="F306" s="70"/>
      <c r="G306" s="81"/>
      <c r="H306" s="46" t="s">
        <v>909</v>
      </c>
    </row>
    <row r="307" spans="2:8">
      <c r="B307" s="89"/>
      <c r="C307" s="89"/>
      <c r="D307" s="73" t="s">
        <v>282</v>
      </c>
      <c r="E307" s="46"/>
      <c r="F307" s="70"/>
      <c r="G307" s="81"/>
      <c r="H307" s="46" t="s">
        <v>910</v>
      </c>
    </row>
    <row r="308" spans="2:8">
      <c r="B308" s="89"/>
      <c r="C308" s="89"/>
      <c r="D308" s="73" t="s">
        <v>297</v>
      </c>
      <c r="E308" s="69"/>
      <c r="F308" s="70"/>
      <c r="G308" s="81"/>
      <c r="H308" s="46" t="s">
        <v>1042</v>
      </c>
    </row>
    <row r="309" spans="2:8">
      <c r="B309" s="89"/>
      <c r="C309" s="89"/>
      <c r="D309" s="73" t="s">
        <v>262</v>
      </c>
      <c r="E309" s="46"/>
      <c r="F309" s="48"/>
      <c r="G309" s="82"/>
      <c r="H309" s="46" t="s">
        <v>1043</v>
      </c>
    </row>
    <row r="310" spans="2:8">
      <c r="B310" s="89"/>
      <c r="C310" s="89"/>
      <c r="D310" s="73" t="s">
        <v>584</v>
      </c>
      <c r="E310" s="46"/>
      <c r="F310" s="70"/>
      <c r="G310" s="81"/>
      <c r="H310" s="46"/>
    </row>
    <row r="311" spans="2:8">
      <c r="B311" s="89">
        <v>31</v>
      </c>
      <c r="C311" s="89" t="s">
        <v>104</v>
      </c>
      <c r="D311" s="73" t="s">
        <v>442</v>
      </c>
      <c r="E311" s="69"/>
      <c r="F311" s="70"/>
      <c r="G311" s="81"/>
      <c r="H311" s="46" t="s">
        <v>1044</v>
      </c>
    </row>
    <row r="312" spans="2:8">
      <c r="B312" s="89"/>
      <c r="C312" s="89"/>
      <c r="D312" s="73" t="s">
        <v>238</v>
      </c>
      <c r="E312" s="58"/>
      <c r="F312" s="48"/>
      <c r="G312" s="82"/>
      <c r="H312" s="58"/>
    </row>
    <row r="313" spans="2:8">
      <c r="B313" s="89"/>
      <c r="C313" s="89"/>
      <c r="D313" s="73" t="s">
        <v>1045</v>
      </c>
      <c r="E313" s="46"/>
      <c r="F313" s="70"/>
      <c r="G313" s="81"/>
      <c r="H313" s="46" t="s">
        <v>1046</v>
      </c>
    </row>
    <row r="314" spans="2:8">
      <c r="B314" s="89"/>
      <c r="C314" s="89"/>
      <c r="D314" s="73" t="s">
        <v>1047</v>
      </c>
      <c r="E314" s="46"/>
      <c r="F314" s="70"/>
      <c r="G314" s="81"/>
      <c r="H314" s="46" t="s">
        <v>1048</v>
      </c>
    </row>
    <row r="315" spans="2:8">
      <c r="B315" s="89"/>
      <c r="C315" s="89"/>
      <c r="D315" s="73" t="s">
        <v>447</v>
      </c>
      <c r="E315" s="46"/>
      <c r="F315" s="70"/>
      <c r="G315" s="81"/>
      <c r="H315" s="46" t="s">
        <v>1049</v>
      </c>
    </row>
    <row r="316" spans="2:8">
      <c r="B316" s="89"/>
      <c r="C316" s="89"/>
      <c r="D316" s="73" t="s">
        <v>446</v>
      </c>
      <c r="E316" s="46"/>
      <c r="F316" s="70"/>
      <c r="G316" s="81"/>
      <c r="H316" s="46" t="s">
        <v>1050</v>
      </c>
    </row>
    <row r="317" spans="2:8">
      <c r="B317" s="89"/>
      <c r="C317" s="89"/>
      <c r="D317" s="73" t="s">
        <v>1051</v>
      </c>
      <c r="E317" s="46"/>
      <c r="F317" s="70"/>
      <c r="G317" s="81"/>
      <c r="H317" s="46" t="s">
        <v>1052</v>
      </c>
    </row>
    <row r="318" spans="2:8">
      <c r="B318" s="89"/>
      <c r="C318" s="89"/>
      <c r="D318" s="73" t="s">
        <v>1053</v>
      </c>
      <c r="E318" s="58"/>
      <c r="F318" s="70"/>
      <c r="G318" s="81"/>
      <c r="H318" s="46" t="s">
        <v>1054</v>
      </c>
    </row>
    <row r="319" spans="2:8">
      <c r="B319" s="89"/>
      <c r="C319" s="89"/>
      <c r="D319" s="73" t="s">
        <v>1055</v>
      </c>
      <c r="E319" s="46"/>
      <c r="F319" s="70"/>
      <c r="G319" s="81"/>
      <c r="H319" s="46" t="s">
        <v>1056</v>
      </c>
    </row>
    <row r="320" spans="2:8">
      <c r="B320" s="89"/>
      <c r="C320" s="89"/>
      <c r="D320" s="73" t="s">
        <v>444</v>
      </c>
      <c r="E320" s="46"/>
      <c r="F320" s="70"/>
      <c r="G320" s="81"/>
      <c r="H320" s="46" t="s">
        <v>1057</v>
      </c>
    </row>
    <row r="321" spans="2:8">
      <c r="B321" s="89"/>
      <c r="C321" s="89"/>
      <c r="D321" s="73" t="s">
        <v>1058</v>
      </c>
      <c r="E321" s="46"/>
      <c r="F321" s="70"/>
      <c r="G321" s="81"/>
      <c r="H321" s="46" t="s">
        <v>1059</v>
      </c>
    </row>
    <row r="322" spans="2:8">
      <c r="B322" s="89"/>
      <c r="C322" s="89"/>
      <c r="D322" s="73" t="s">
        <v>1060</v>
      </c>
      <c r="E322" s="46"/>
      <c r="F322" s="70"/>
      <c r="G322" s="81"/>
      <c r="H322" s="46" t="s">
        <v>1061</v>
      </c>
    </row>
    <row r="323" spans="2:8">
      <c r="B323" s="89">
        <v>32</v>
      </c>
      <c r="C323" s="89" t="s">
        <v>105</v>
      </c>
      <c r="D323" s="68" t="s">
        <v>569</v>
      </c>
      <c r="E323" s="69"/>
      <c r="F323" s="70"/>
      <c r="G323" s="81"/>
      <c r="H323" s="46" t="s">
        <v>1010</v>
      </c>
    </row>
    <row r="324" spans="2:8">
      <c r="B324" s="89"/>
      <c r="C324" s="89"/>
      <c r="D324" s="68" t="s">
        <v>464</v>
      </c>
      <c r="E324" s="69"/>
      <c r="F324" s="70"/>
      <c r="G324" s="81"/>
      <c r="H324" s="46" t="s">
        <v>1011</v>
      </c>
    </row>
    <row r="325" spans="2:8">
      <c r="B325" s="89"/>
      <c r="C325" s="89"/>
      <c r="D325" s="68" t="s">
        <v>465</v>
      </c>
      <c r="E325" s="69"/>
      <c r="F325" s="48"/>
      <c r="G325" s="82"/>
      <c r="H325" s="46" t="s">
        <v>848</v>
      </c>
    </row>
    <row r="326" spans="2:8">
      <c r="B326" s="89"/>
      <c r="C326" s="89"/>
      <c r="D326" s="68" t="s">
        <v>493</v>
      </c>
      <c r="E326" s="69"/>
      <c r="F326" s="70"/>
      <c r="G326" s="81"/>
      <c r="H326" s="46" t="s">
        <v>1012</v>
      </c>
    </row>
    <row r="327" spans="2:8">
      <c r="B327" s="89"/>
      <c r="C327" s="89"/>
      <c r="D327" s="68" t="s">
        <v>494</v>
      </c>
      <c r="E327" s="69"/>
      <c r="F327" s="70"/>
      <c r="G327" s="81"/>
      <c r="H327" s="46" t="s">
        <v>1013</v>
      </c>
    </row>
    <row r="328" spans="2:8">
      <c r="B328" s="89"/>
      <c r="C328" s="89"/>
      <c r="D328" s="68" t="s">
        <v>495</v>
      </c>
      <c r="E328" s="69"/>
      <c r="F328" s="70"/>
      <c r="G328" s="81"/>
      <c r="H328" s="46" t="s">
        <v>1014</v>
      </c>
    </row>
    <row r="329" spans="2:8">
      <c r="B329" s="89"/>
      <c r="C329" s="89"/>
      <c r="D329" s="68" t="s">
        <v>496</v>
      </c>
      <c r="E329" s="69"/>
      <c r="F329" s="70"/>
      <c r="G329" s="81"/>
      <c r="H329" s="46" t="s">
        <v>1015</v>
      </c>
    </row>
    <row r="330" spans="2:8">
      <c r="B330" s="89"/>
      <c r="C330" s="89"/>
      <c r="D330" s="68" t="s">
        <v>497</v>
      </c>
      <c r="E330" s="69"/>
      <c r="F330" s="70"/>
      <c r="G330" s="81"/>
      <c r="H330" s="46" t="s">
        <v>1062</v>
      </c>
    </row>
    <row r="331" spans="2:8">
      <c r="B331" s="89"/>
      <c r="C331" s="89"/>
      <c r="D331" s="68" t="s">
        <v>498</v>
      </c>
      <c r="E331" s="69"/>
      <c r="F331" s="70"/>
      <c r="G331" s="81"/>
      <c r="H331" s="46" t="s">
        <v>1016</v>
      </c>
    </row>
    <row r="332" spans="2:8">
      <c r="B332" s="89"/>
      <c r="C332" s="89"/>
      <c r="D332" s="68" t="s">
        <v>499</v>
      </c>
      <c r="E332" s="69"/>
      <c r="F332" s="70"/>
      <c r="G332" s="81"/>
      <c r="H332" s="46" t="s">
        <v>1017</v>
      </c>
    </row>
    <row r="333" spans="2:8">
      <c r="B333" s="89"/>
      <c r="C333" s="89"/>
      <c r="D333" s="68" t="s">
        <v>174</v>
      </c>
      <c r="E333" s="69"/>
      <c r="F333" s="70"/>
      <c r="G333" s="81"/>
      <c r="H333" s="46" t="s">
        <v>1018</v>
      </c>
    </row>
    <row r="334" spans="2:8">
      <c r="B334" s="89"/>
      <c r="C334" s="89"/>
      <c r="D334" s="68" t="s">
        <v>501</v>
      </c>
      <c r="E334" s="69"/>
      <c r="F334" s="70"/>
      <c r="G334" s="81"/>
      <c r="H334" s="46" t="s">
        <v>1019</v>
      </c>
    </row>
    <row r="335" spans="2:8" ht="66">
      <c r="B335" s="89"/>
      <c r="C335" s="89"/>
      <c r="D335" s="68" t="s">
        <v>570</v>
      </c>
      <c r="E335" s="46"/>
      <c r="F335" s="70"/>
      <c r="G335" s="81"/>
      <c r="H335" s="54" t="s">
        <v>1020</v>
      </c>
    </row>
    <row r="336" spans="2:8" ht="33">
      <c r="B336" s="89"/>
      <c r="C336" s="89"/>
      <c r="D336" s="68" t="s">
        <v>571</v>
      </c>
      <c r="E336" s="46"/>
      <c r="F336" s="70"/>
      <c r="G336" s="81"/>
      <c r="H336" s="54" t="s">
        <v>1021</v>
      </c>
    </row>
    <row r="337" spans="2:8" ht="66">
      <c r="B337" s="89"/>
      <c r="C337" s="89"/>
      <c r="D337" s="68" t="s">
        <v>572</v>
      </c>
      <c r="E337" s="46"/>
      <c r="F337" s="70"/>
      <c r="G337" s="81"/>
      <c r="H337" s="54" t="s">
        <v>1022</v>
      </c>
    </row>
    <row r="338" spans="2:8">
      <c r="B338" s="89"/>
      <c r="C338" s="89"/>
      <c r="D338" s="68" t="s">
        <v>574</v>
      </c>
      <c r="E338" s="46"/>
      <c r="F338" s="70"/>
      <c r="G338" s="81"/>
      <c r="H338" s="46" t="s">
        <v>1024</v>
      </c>
    </row>
    <row r="339" spans="2:8">
      <c r="B339" s="89"/>
      <c r="C339" s="89"/>
      <c r="D339" s="68" t="s">
        <v>575</v>
      </c>
      <c r="E339" s="46"/>
      <c r="F339" s="70"/>
      <c r="G339" s="81"/>
      <c r="H339" s="46" t="s">
        <v>1063</v>
      </c>
    </row>
    <row r="340" spans="2:8">
      <c r="B340" s="89"/>
      <c r="C340" s="89"/>
      <c r="D340" s="68" t="s">
        <v>509</v>
      </c>
      <c r="E340" s="46"/>
      <c r="F340" s="70"/>
      <c r="G340" s="81"/>
      <c r="H340" s="46" t="s">
        <v>1028</v>
      </c>
    </row>
    <row r="341" spans="2:8">
      <c r="B341" s="89"/>
      <c r="C341" s="89"/>
      <c r="D341" s="68" t="s">
        <v>578</v>
      </c>
      <c r="E341" s="46"/>
      <c r="F341" s="70"/>
      <c r="G341" s="81"/>
      <c r="H341" s="46" t="s">
        <v>1029</v>
      </c>
    </row>
    <row r="342" spans="2:8">
      <c r="B342" s="89"/>
      <c r="C342" s="89"/>
      <c r="D342" s="68" t="s">
        <v>579</v>
      </c>
      <c r="E342" s="46"/>
      <c r="F342" s="70"/>
      <c r="G342" s="81"/>
      <c r="H342" s="46" t="s">
        <v>1030</v>
      </c>
    </row>
    <row r="343" spans="2:8" ht="49.5">
      <c r="B343" s="89"/>
      <c r="C343" s="89"/>
      <c r="D343" s="68" t="s">
        <v>580</v>
      </c>
      <c r="E343" s="46"/>
      <c r="F343" s="70"/>
      <c r="G343" s="81"/>
      <c r="H343" s="54" t="s">
        <v>1031</v>
      </c>
    </row>
    <row r="344" spans="2:8">
      <c r="B344" s="89"/>
      <c r="C344" s="89"/>
      <c r="D344" s="68" t="s">
        <v>296</v>
      </c>
      <c r="E344" s="69"/>
      <c r="F344" s="70"/>
      <c r="G344" s="81"/>
      <c r="H344" s="46" t="s">
        <v>6</v>
      </c>
    </row>
    <row r="345" spans="2:8">
      <c r="B345" s="89"/>
      <c r="C345" s="89"/>
      <c r="D345" s="68" t="s">
        <v>293</v>
      </c>
      <c r="E345" s="69"/>
      <c r="F345" s="70"/>
      <c r="G345" s="81"/>
      <c r="H345" s="46" t="s">
        <v>1033</v>
      </c>
    </row>
    <row r="346" spans="2:8">
      <c r="B346" s="89"/>
      <c r="C346" s="89"/>
      <c r="D346" s="68" t="s">
        <v>581</v>
      </c>
      <c r="E346" s="46"/>
      <c r="F346" s="70"/>
      <c r="G346" s="81"/>
      <c r="H346" s="46" t="s">
        <v>1034</v>
      </c>
    </row>
    <row r="347" spans="2:8">
      <c r="B347" s="89"/>
      <c r="C347" s="89"/>
      <c r="D347" s="68" t="s">
        <v>582</v>
      </c>
      <c r="E347" s="46"/>
      <c r="F347" s="70"/>
      <c r="G347" s="81"/>
      <c r="H347" s="46" t="s">
        <v>1035</v>
      </c>
    </row>
    <row r="348" spans="2:8">
      <c r="B348" s="89"/>
      <c r="C348" s="89"/>
      <c r="D348" s="68" t="s">
        <v>583</v>
      </c>
      <c r="E348" s="46"/>
      <c r="F348" s="70"/>
      <c r="G348" s="81"/>
      <c r="H348" s="46" t="s">
        <v>5</v>
      </c>
    </row>
    <row r="349" spans="2:8">
      <c r="B349" s="89"/>
      <c r="C349" s="89"/>
      <c r="D349" s="68" t="s">
        <v>569</v>
      </c>
      <c r="E349" s="69"/>
      <c r="F349" s="70"/>
      <c r="G349" s="81"/>
      <c r="H349" s="46" t="s">
        <v>1010</v>
      </c>
    </row>
    <row r="350" spans="2:8">
      <c r="B350" s="89"/>
      <c r="C350" s="89"/>
      <c r="D350" s="68" t="s">
        <v>464</v>
      </c>
      <c r="E350" s="69"/>
      <c r="F350" s="70"/>
      <c r="G350" s="81"/>
      <c r="H350" s="46" t="s">
        <v>1011</v>
      </c>
    </row>
    <row r="351" spans="2:8">
      <c r="B351" s="89"/>
      <c r="C351" s="89"/>
      <c r="D351" s="68" t="s">
        <v>465</v>
      </c>
      <c r="E351" s="46"/>
      <c r="F351" s="48"/>
      <c r="G351" s="82"/>
      <c r="H351" s="46" t="s">
        <v>848</v>
      </c>
    </row>
    <row r="352" spans="2:8">
      <c r="B352" s="89"/>
      <c r="C352" s="89"/>
      <c r="D352" s="68" t="s">
        <v>493</v>
      </c>
      <c r="E352" s="46"/>
      <c r="F352" s="70"/>
      <c r="G352" s="81"/>
      <c r="H352" s="46" t="s">
        <v>1012</v>
      </c>
    </row>
    <row r="353" spans="2:8">
      <c r="B353" s="89"/>
      <c r="C353" s="89"/>
      <c r="D353" s="68" t="s">
        <v>494</v>
      </c>
      <c r="E353" s="69"/>
      <c r="F353" s="70"/>
      <c r="G353" s="81"/>
      <c r="H353" s="46" t="s">
        <v>1013</v>
      </c>
    </row>
    <row r="354" spans="2:8">
      <c r="B354" s="89"/>
      <c r="C354" s="89"/>
      <c r="D354" s="68" t="s">
        <v>495</v>
      </c>
      <c r="E354" s="69"/>
      <c r="F354" s="70"/>
      <c r="G354" s="81"/>
      <c r="H354" s="46" t="s">
        <v>1014</v>
      </c>
    </row>
    <row r="355" spans="2:8">
      <c r="B355" s="89"/>
      <c r="C355" s="89"/>
      <c r="D355" s="68" t="s">
        <v>496</v>
      </c>
      <c r="E355" s="69"/>
      <c r="F355" s="70"/>
      <c r="G355" s="81"/>
      <c r="H355" s="46" t="s">
        <v>1015</v>
      </c>
    </row>
    <row r="356" spans="2:8">
      <c r="B356" s="89"/>
      <c r="C356" s="89"/>
      <c r="D356" s="68" t="s">
        <v>497</v>
      </c>
      <c r="E356" s="69"/>
      <c r="F356" s="70"/>
      <c r="G356" s="81"/>
      <c r="H356" s="46" t="s">
        <v>1062</v>
      </c>
    </row>
    <row r="357" spans="2:8">
      <c r="B357" s="89"/>
      <c r="C357" s="89"/>
      <c r="D357" s="68" t="s">
        <v>498</v>
      </c>
      <c r="E357" s="69"/>
      <c r="F357" s="70"/>
      <c r="G357" s="81"/>
      <c r="H357" s="46" t="s">
        <v>1016</v>
      </c>
    </row>
    <row r="358" spans="2:8">
      <c r="B358" s="89"/>
      <c r="C358" s="89"/>
      <c r="D358" s="68" t="s">
        <v>499</v>
      </c>
      <c r="E358" s="69"/>
      <c r="F358" s="70"/>
      <c r="G358" s="81"/>
      <c r="H358" s="46" t="s">
        <v>1017</v>
      </c>
    </row>
    <row r="359" spans="2:8">
      <c r="B359" s="89"/>
      <c r="C359" s="89"/>
      <c r="D359" s="68" t="s">
        <v>174</v>
      </c>
      <c r="E359" s="69"/>
      <c r="F359" s="70"/>
      <c r="G359" s="81"/>
      <c r="H359" s="46" t="s">
        <v>1018</v>
      </c>
    </row>
    <row r="360" spans="2:8">
      <c r="B360" s="89"/>
      <c r="C360" s="89"/>
      <c r="D360" s="68" t="s">
        <v>501</v>
      </c>
      <c r="E360" s="69"/>
      <c r="F360" s="70"/>
      <c r="G360" s="81"/>
      <c r="H360" s="46" t="s">
        <v>1019</v>
      </c>
    </row>
    <row r="361" spans="2:8" ht="66">
      <c r="B361" s="89"/>
      <c r="C361" s="89"/>
      <c r="D361" s="68" t="s">
        <v>570</v>
      </c>
      <c r="E361" s="46"/>
      <c r="F361" s="70"/>
      <c r="G361" s="81"/>
      <c r="H361" s="54" t="s">
        <v>1020</v>
      </c>
    </row>
    <row r="362" spans="2:8" ht="33">
      <c r="B362" s="89"/>
      <c r="C362" s="89"/>
      <c r="D362" s="68" t="s">
        <v>571</v>
      </c>
      <c r="E362" s="46"/>
      <c r="F362" s="70"/>
      <c r="G362" s="81"/>
      <c r="H362" s="54" t="s">
        <v>1021</v>
      </c>
    </row>
    <row r="363" spans="2:8" ht="66">
      <c r="B363" s="89"/>
      <c r="C363" s="89"/>
      <c r="D363" s="68" t="s">
        <v>572</v>
      </c>
      <c r="E363" s="46"/>
      <c r="F363" s="70"/>
      <c r="G363" s="81"/>
      <c r="H363" s="54" t="s">
        <v>1022</v>
      </c>
    </row>
    <row r="364" spans="2:8">
      <c r="B364" s="89"/>
      <c r="C364" s="89"/>
      <c r="D364" s="68" t="s">
        <v>574</v>
      </c>
      <c r="E364" s="46"/>
      <c r="F364" s="70"/>
      <c r="G364" s="81"/>
      <c r="H364" s="46" t="s">
        <v>1024</v>
      </c>
    </row>
    <row r="365" spans="2:8">
      <c r="B365" s="89"/>
      <c r="C365" s="89"/>
      <c r="D365" s="68" t="s">
        <v>575</v>
      </c>
      <c r="E365" s="46"/>
      <c r="F365" s="70"/>
      <c r="G365" s="81"/>
      <c r="H365" s="46" t="s">
        <v>1063</v>
      </c>
    </row>
    <row r="366" spans="2:8">
      <c r="B366" s="89"/>
      <c r="C366" s="89"/>
      <c r="D366" s="68" t="s">
        <v>509</v>
      </c>
      <c r="E366" s="46"/>
      <c r="F366" s="70"/>
      <c r="G366" s="81"/>
      <c r="H366" s="46" t="s">
        <v>1028</v>
      </c>
    </row>
    <row r="367" spans="2:8">
      <c r="B367" s="89"/>
      <c r="C367" s="89"/>
      <c r="D367" s="68" t="s">
        <v>578</v>
      </c>
      <c r="E367" s="46"/>
      <c r="F367" s="70"/>
      <c r="G367" s="81"/>
      <c r="H367" s="46" t="s">
        <v>1029</v>
      </c>
    </row>
    <row r="368" spans="2:8">
      <c r="B368" s="89"/>
      <c r="C368" s="89"/>
      <c r="D368" s="68" t="s">
        <v>579</v>
      </c>
      <c r="E368" s="46"/>
      <c r="F368" s="70"/>
      <c r="G368" s="81"/>
      <c r="H368" s="46" t="s">
        <v>1030</v>
      </c>
    </row>
    <row r="369" spans="2:8" ht="49.5">
      <c r="B369" s="89"/>
      <c r="C369" s="89"/>
      <c r="D369" s="68" t="s">
        <v>580</v>
      </c>
      <c r="E369" s="46"/>
      <c r="F369" s="70"/>
      <c r="G369" s="81"/>
      <c r="H369" s="54" t="s">
        <v>1031</v>
      </c>
    </row>
    <row r="370" spans="2:8">
      <c r="B370" s="89"/>
      <c r="C370" s="89"/>
      <c r="D370" s="68" t="s">
        <v>296</v>
      </c>
      <c r="E370" s="69"/>
      <c r="F370" s="70"/>
      <c r="G370" s="81"/>
      <c r="H370" s="46" t="s">
        <v>6</v>
      </c>
    </row>
    <row r="371" spans="2:8">
      <c r="B371" s="89"/>
      <c r="C371" s="89"/>
      <c r="D371" s="68" t="s">
        <v>293</v>
      </c>
      <c r="E371" s="69"/>
      <c r="F371" s="70"/>
      <c r="G371" s="81"/>
      <c r="H371" s="46" t="s">
        <v>1033</v>
      </c>
    </row>
    <row r="372" spans="2:8">
      <c r="B372" s="89"/>
      <c r="C372" s="89"/>
      <c r="D372" s="68" t="s">
        <v>581</v>
      </c>
      <c r="E372" s="46"/>
      <c r="F372" s="70"/>
      <c r="G372" s="81"/>
      <c r="H372" s="46" t="s">
        <v>1034</v>
      </c>
    </row>
    <row r="373" spans="2:8">
      <c r="B373" s="89"/>
      <c r="C373" s="89"/>
      <c r="D373" s="68" t="s">
        <v>582</v>
      </c>
      <c r="E373" s="46"/>
      <c r="F373" s="70"/>
      <c r="G373" s="81"/>
      <c r="H373" s="46" t="s">
        <v>1035</v>
      </c>
    </row>
    <row r="374" spans="2:8">
      <c r="B374" s="89"/>
      <c r="C374" s="89"/>
      <c r="D374" s="68" t="s">
        <v>583</v>
      </c>
      <c r="E374" s="46"/>
      <c r="F374" s="70"/>
      <c r="G374" s="81"/>
      <c r="H374" s="46" t="s">
        <v>5</v>
      </c>
    </row>
    <row r="375" spans="2:8">
      <c r="B375" s="89"/>
      <c r="C375" s="89"/>
      <c r="D375" s="68" t="s">
        <v>511</v>
      </c>
      <c r="E375" s="46"/>
      <c r="F375" s="70"/>
      <c r="G375" s="81"/>
      <c r="H375" s="46" t="s">
        <v>1036</v>
      </c>
    </row>
    <row r="376" spans="2:8">
      <c r="B376" s="89"/>
      <c r="C376" s="89"/>
      <c r="D376" s="68" t="s">
        <v>654</v>
      </c>
      <c r="E376" s="46"/>
      <c r="F376" s="70"/>
      <c r="G376" s="81"/>
      <c r="H376" s="46" t="s">
        <v>1037</v>
      </c>
    </row>
    <row r="377" spans="2:8">
      <c r="B377" s="89"/>
      <c r="C377" s="89"/>
      <c r="D377" s="68" t="s">
        <v>280</v>
      </c>
      <c r="E377" s="46"/>
      <c r="F377" s="70"/>
      <c r="G377" s="81"/>
      <c r="H377" s="46" t="s">
        <v>1038</v>
      </c>
    </row>
    <row r="378" spans="2:8">
      <c r="B378" s="89"/>
      <c r="C378" s="89"/>
      <c r="D378" s="68" t="s">
        <v>518</v>
      </c>
      <c r="E378" s="46"/>
      <c r="F378" s="70"/>
      <c r="G378" s="81"/>
      <c r="H378" s="46" t="s">
        <v>1040</v>
      </c>
    </row>
    <row r="379" spans="2:8">
      <c r="B379" s="89"/>
      <c r="C379" s="89"/>
      <c r="D379" s="68" t="s">
        <v>519</v>
      </c>
      <c r="E379" s="46"/>
      <c r="F379" s="70"/>
      <c r="G379" s="81"/>
      <c r="H379" s="46" t="s">
        <v>1041</v>
      </c>
    </row>
    <row r="380" spans="2:8">
      <c r="B380" s="89"/>
      <c r="C380" s="89"/>
      <c r="D380" s="68" t="s">
        <v>297</v>
      </c>
      <c r="E380" s="48"/>
      <c r="F380" s="70"/>
      <c r="G380" s="81"/>
      <c r="H380" s="46" t="s">
        <v>1064</v>
      </c>
    </row>
    <row r="381" spans="2:8">
      <c r="B381" s="89"/>
      <c r="C381" s="89"/>
      <c r="D381" s="68" t="s">
        <v>262</v>
      </c>
      <c r="E381" s="46"/>
      <c r="F381" s="48"/>
      <c r="G381" s="82"/>
      <c r="H381" s="46" t="s">
        <v>1065</v>
      </c>
    </row>
    <row r="382" spans="2:8">
      <c r="B382" s="89">
        <v>33</v>
      </c>
      <c r="C382" s="89" t="s">
        <v>106</v>
      </c>
      <c r="D382" s="73" t="s">
        <v>643</v>
      </c>
      <c r="E382" s="69"/>
      <c r="F382" s="70"/>
      <c r="G382" s="81"/>
      <c r="H382" s="46" t="s">
        <v>1066</v>
      </c>
    </row>
    <row r="383" spans="2:8">
      <c r="B383" s="89"/>
      <c r="C383" s="89"/>
      <c r="D383" s="73" t="s">
        <v>465</v>
      </c>
      <c r="E383" s="46"/>
      <c r="F383" s="48"/>
      <c r="G383" s="82"/>
      <c r="H383" s="46" t="s">
        <v>848</v>
      </c>
    </row>
    <row r="384" spans="2:8">
      <c r="B384" s="89"/>
      <c r="C384" s="89"/>
      <c r="D384" s="73" t="s">
        <v>644</v>
      </c>
      <c r="E384" s="46"/>
      <c r="F384" s="70"/>
      <c r="G384" s="84"/>
      <c r="H384" s="48"/>
    </row>
    <row r="385" spans="2:8" ht="66">
      <c r="B385" s="89"/>
      <c r="C385" s="89"/>
      <c r="D385" s="73" t="s">
        <v>570</v>
      </c>
      <c r="E385" s="46"/>
      <c r="F385" s="70"/>
      <c r="G385" s="81"/>
      <c r="H385" s="54" t="s">
        <v>1067</v>
      </c>
    </row>
    <row r="386" spans="2:8" ht="66">
      <c r="B386" s="89"/>
      <c r="C386" s="89"/>
      <c r="D386" s="73" t="s">
        <v>645</v>
      </c>
      <c r="E386" s="48"/>
      <c r="F386" s="70"/>
      <c r="G386" s="81"/>
      <c r="H386" s="54" t="s">
        <v>1022</v>
      </c>
    </row>
    <row r="387" spans="2:8">
      <c r="B387" s="89"/>
      <c r="C387" s="89"/>
      <c r="D387" s="73" t="s">
        <v>646</v>
      </c>
      <c r="E387" s="69"/>
      <c r="F387" s="72"/>
      <c r="G387" s="83"/>
      <c r="H387" s="46" t="s">
        <v>1068</v>
      </c>
    </row>
    <row r="388" spans="2:8">
      <c r="B388" s="89"/>
      <c r="C388" s="89"/>
      <c r="D388" s="73" t="s">
        <v>632</v>
      </c>
      <c r="E388" s="46"/>
      <c r="F388" s="70"/>
      <c r="G388" s="81"/>
      <c r="H388" s="46" t="s">
        <v>1069</v>
      </c>
    </row>
    <row r="389" spans="2:8">
      <c r="B389" s="89"/>
      <c r="C389" s="89"/>
      <c r="D389" s="73" t="s">
        <v>647</v>
      </c>
      <c r="E389" s="69"/>
      <c r="F389" s="70"/>
      <c r="G389" s="81"/>
      <c r="H389" s="46" t="s">
        <v>1070</v>
      </c>
    </row>
    <row r="390" spans="2:8">
      <c r="B390" s="89"/>
      <c r="C390" s="89"/>
      <c r="D390" s="73" t="s">
        <v>648</v>
      </c>
      <c r="E390" s="46"/>
      <c r="F390" s="70"/>
      <c r="G390" s="81"/>
      <c r="H390" s="46" t="s">
        <v>1071</v>
      </c>
    </row>
    <row r="391" spans="2:8">
      <c r="B391" s="89"/>
      <c r="C391" s="89"/>
      <c r="D391" s="73" t="s">
        <v>649</v>
      </c>
      <c r="E391" s="46"/>
      <c r="F391" s="70"/>
      <c r="G391" s="81"/>
      <c r="H391" s="46" t="s">
        <v>1072</v>
      </c>
    </row>
    <row r="392" spans="2:8">
      <c r="B392" s="89"/>
      <c r="C392" s="89"/>
      <c r="D392" s="73" t="s">
        <v>294</v>
      </c>
      <c r="E392" s="46"/>
      <c r="F392" s="70"/>
      <c r="G392" s="81"/>
      <c r="H392" s="46" t="s">
        <v>1073</v>
      </c>
    </row>
    <row r="393" spans="2:8">
      <c r="B393" s="89"/>
      <c r="C393" s="89"/>
      <c r="D393" s="73" t="s">
        <v>575</v>
      </c>
      <c r="E393" s="46"/>
      <c r="F393" s="70"/>
      <c r="G393" s="81"/>
      <c r="H393" s="46" t="s">
        <v>1063</v>
      </c>
    </row>
    <row r="394" spans="2:8">
      <c r="B394" s="89"/>
      <c r="C394" s="89"/>
      <c r="D394" s="73" t="s">
        <v>650</v>
      </c>
      <c r="E394" s="46"/>
      <c r="F394" s="70"/>
      <c r="G394" s="81"/>
      <c r="H394" s="46" t="s">
        <v>1074</v>
      </c>
    </row>
    <row r="395" spans="2:8" ht="33">
      <c r="B395" s="89"/>
      <c r="C395" s="89"/>
      <c r="D395" s="73" t="s">
        <v>580</v>
      </c>
      <c r="E395" s="46"/>
      <c r="F395" s="70"/>
      <c r="G395" s="81"/>
      <c r="H395" s="54" t="s">
        <v>1075</v>
      </c>
    </row>
    <row r="396" spans="2:8">
      <c r="B396" s="89"/>
      <c r="C396" s="89"/>
      <c r="D396" s="73" t="s">
        <v>444</v>
      </c>
      <c r="E396" s="46"/>
      <c r="F396" s="70"/>
      <c r="G396" s="81"/>
      <c r="H396" s="46" t="s">
        <v>1076</v>
      </c>
    </row>
    <row r="397" spans="2:8">
      <c r="B397" s="89"/>
      <c r="C397" s="89"/>
      <c r="D397" s="73" t="s">
        <v>446</v>
      </c>
      <c r="E397" s="46"/>
      <c r="F397" s="70"/>
      <c r="G397" s="81"/>
      <c r="H397" s="46" t="s">
        <v>1077</v>
      </c>
    </row>
    <row r="398" spans="2:8">
      <c r="B398" s="89"/>
      <c r="C398" s="89"/>
      <c r="D398" s="73" t="s">
        <v>651</v>
      </c>
      <c r="E398" s="46"/>
      <c r="F398" s="70"/>
      <c r="G398" s="81"/>
      <c r="H398" s="46" t="s">
        <v>1078</v>
      </c>
    </row>
    <row r="399" spans="2:8" ht="66">
      <c r="B399" s="89"/>
      <c r="C399" s="89"/>
      <c r="D399" s="73" t="s">
        <v>652</v>
      </c>
      <c r="E399" s="46"/>
      <c r="F399" s="70"/>
      <c r="G399" s="81"/>
      <c r="H399" s="54" t="s">
        <v>1079</v>
      </c>
    </row>
    <row r="400" spans="2:8">
      <c r="B400" s="89"/>
      <c r="C400" s="89"/>
      <c r="D400" s="73" t="s">
        <v>407</v>
      </c>
      <c r="E400" s="46"/>
      <c r="F400" s="70"/>
      <c r="G400" s="81"/>
      <c r="H400" s="46" t="s">
        <v>1080</v>
      </c>
    </row>
    <row r="401" spans="2:8">
      <c r="B401" s="89"/>
      <c r="C401" s="89"/>
      <c r="D401" s="73" t="s">
        <v>653</v>
      </c>
      <c r="E401" s="69"/>
      <c r="F401" s="70"/>
      <c r="G401" s="81"/>
      <c r="H401" s="46" t="s">
        <v>1081</v>
      </c>
    </row>
    <row r="402" spans="2:8">
      <c r="B402" s="89"/>
      <c r="C402" s="89"/>
      <c r="D402" s="73" t="s">
        <v>177</v>
      </c>
      <c r="E402" s="48"/>
      <c r="F402" s="70"/>
      <c r="G402" s="81"/>
      <c r="H402" s="46" t="s">
        <v>1042</v>
      </c>
    </row>
    <row r="403" spans="2:8">
      <c r="B403" s="89"/>
      <c r="C403" s="89"/>
      <c r="D403" s="73" t="s">
        <v>123</v>
      </c>
      <c r="E403" s="46"/>
      <c r="F403" s="70"/>
      <c r="G403" s="81"/>
      <c r="H403" s="46" t="s">
        <v>5</v>
      </c>
    </row>
    <row r="404" spans="2:8">
      <c r="B404" s="89"/>
      <c r="C404" s="89"/>
      <c r="D404" s="73" t="s">
        <v>15</v>
      </c>
      <c r="E404" s="46"/>
      <c r="F404" s="70"/>
      <c r="G404" s="81"/>
      <c r="H404" s="46" t="s">
        <v>1036</v>
      </c>
    </row>
    <row r="405" spans="2:8">
      <c r="B405" s="89"/>
      <c r="C405" s="89"/>
      <c r="D405" s="73" t="s">
        <v>654</v>
      </c>
      <c r="E405" s="46"/>
      <c r="F405" s="70"/>
      <c r="G405" s="81"/>
      <c r="H405" s="46" t="s">
        <v>1082</v>
      </c>
    </row>
    <row r="406" spans="2:8">
      <c r="B406" s="89"/>
      <c r="C406" s="89"/>
      <c r="D406" s="73" t="s">
        <v>655</v>
      </c>
      <c r="E406" s="46"/>
      <c r="F406" s="70"/>
      <c r="G406" s="81"/>
      <c r="H406" s="46" t="s">
        <v>1083</v>
      </c>
    </row>
    <row r="407" spans="2:8">
      <c r="B407" s="89"/>
      <c r="C407" s="89"/>
      <c r="D407" s="73" t="s">
        <v>656</v>
      </c>
      <c r="E407" s="46"/>
      <c r="F407" s="70"/>
      <c r="G407" s="81"/>
      <c r="H407" s="46" t="s">
        <v>1084</v>
      </c>
    </row>
    <row r="408" spans="2:8">
      <c r="B408" s="89"/>
      <c r="C408" s="89"/>
      <c r="D408" s="73" t="s">
        <v>516</v>
      </c>
      <c r="E408" s="46"/>
      <c r="F408" s="70"/>
      <c r="G408" s="81"/>
      <c r="H408" s="46" t="s">
        <v>1085</v>
      </c>
    </row>
    <row r="409" spans="2:8">
      <c r="B409" s="89"/>
      <c r="C409" s="89"/>
      <c r="D409" s="73" t="s">
        <v>281</v>
      </c>
      <c r="E409" s="46"/>
      <c r="F409" s="70"/>
      <c r="G409" s="81"/>
      <c r="H409" s="46" t="s">
        <v>1086</v>
      </c>
    </row>
    <row r="410" spans="2:8">
      <c r="B410" s="89"/>
      <c r="C410" s="89"/>
      <c r="D410" s="73" t="s">
        <v>282</v>
      </c>
      <c r="E410" s="46"/>
      <c r="F410" s="70"/>
      <c r="G410" s="81"/>
      <c r="H410" s="46" t="s">
        <v>1087</v>
      </c>
    </row>
    <row r="411" spans="2:8">
      <c r="B411" s="89"/>
      <c r="C411" s="89"/>
      <c r="D411" s="73" t="s">
        <v>657</v>
      </c>
      <c r="E411" s="46"/>
      <c r="F411" s="70"/>
      <c r="G411" s="81"/>
      <c r="H411" s="46" t="s">
        <v>1088</v>
      </c>
    </row>
    <row r="412" spans="2:8" s="48" customFormat="1">
      <c r="B412" s="89"/>
      <c r="C412" s="89"/>
      <c r="D412" s="73" t="s">
        <v>658</v>
      </c>
      <c r="E412" s="46"/>
      <c r="F412" s="70"/>
      <c r="G412" s="81"/>
      <c r="H412" s="46"/>
    </row>
    <row r="413" spans="2:8">
      <c r="B413" s="89"/>
      <c r="C413" s="89"/>
      <c r="D413" s="46" t="s">
        <v>1237</v>
      </c>
      <c r="F413" s="70"/>
      <c r="G413" s="81" t="s">
        <v>1241</v>
      </c>
      <c r="H413" s="46" t="s">
        <v>1239</v>
      </c>
    </row>
    <row r="414" spans="2:8">
      <c r="B414" s="89">
        <v>34</v>
      </c>
      <c r="C414" s="89" t="s">
        <v>107</v>
      </c>
      <c r="D414" s="68" t="s">
        <v>492</v>
      </c>
      <c r="E414" s="69"/>
      <c r="F414" s="70"/>
      <c r="G414" s="81"/>
      <c r="H414" s="46" t="s">
        <v>1089</v>
      </c>
    </row>
    <row r="415" spans="2:8">
      <c r="B415" s="89"/>
      <c r="C415" s="89"/>
      <c r="D415" s="68" t="s">
        <v>643</v>
      </c>
      <c r="E415" s="69"/>
      <c r="F415" s="70"/>
      <c r="G415" s="81"/>
      <c r="H415" s="46" t="s">
        <v>1090</v>
      </c>
    </row>
    <row r="416" spans="2:8">
      <c r="B416" s="89"/>
      <c r="C416" s="89"/>
      <c r="D416" s="68" t="s">
        <v>153</v>
      </c>
      <c r="E416" s="46"/>
      <c r="F416" s="70"/>
      <c r="G416" s="81"/>
      <c r="H416" s="46" t="s">
        <v>1091</v>
      </c>
    </row>
    <row r="417" spans="2:8">
      <c r="B417" s="89"/>
      <c r="C417" s="89"/>
      <c r="D417" s="68" t="s">
        <v>465</v>
      </c>
      <c r="E417" s="46"/>
      <c r="F417" s="48"/>
      <c r="G417" s="82"/>
      <c r="H417" s="46" t="s">
        <v>848</v>
      </c>
    </row>
    <row r="418" spans="2:8">
      <c r="B418" s="89"/>
      <c r="C418" s="89"/>
      <c r="D418" s="68" t="s">
        <v>494</v>
      </c>
      <c r="E418" s="69"/>
      <c r="F418" s="70"/>
      <c r="G418" s="81"/>
      <c r="H418" s="46" t="s">
        <v>1092</v>
      </c>
    </row>
    <row r="419" spans="2:8">
      <c r="B419" s="89"/>
      <c r="C419" s="89"/>
      <c r="D419" s="68" t="s">
        <v>633</v>
      </c>
      <c r="E419" s="69"/>
      <c r="F419" s="70"/>
      <c r="G419" s="81"/>
      <c r="H419" s="46" t="s">
        <v>1093</v>
      </c>
    </row>
    <row r="420" spans="2:8">
      <c r="B420" s="89"/>
      <c r="C420" s="89"/>
      <c r="D420" s="68" t="s">
        <v>707</v>
      </c>
      <c r="E420" s="74"/>
      <c r="F420" s="70"/>
      <c r="G420" s="81"/>
      <c r="H420" s="46" t="s">
        <v>1094</v>
      </c>
    </row>
    <row r="421" spans="2:8">
      <c r="B421" s="89"/>
      <c r="C421" s="89"/>
      <c r="D421" s="68" t="s">
        <v>708</v>
      </c>
      <c r="E421" s="74"/>
      <c r="F421" s="70"/>
      <c r="G421" s="81"/>
      <c r="H421" s="46" t="s">
        <v>1095</v>
      </c>
    </row>
    <row r="422" spans="2:8">
      <c r="B422" s="89"/>
      <c r="C422" s="89"/>
      <c r="D422" s="68" t="s">
        <v>709</v>
      </c>
      <c r="E422" s="46"/>
      <c r="F422" s="70"/>
      <c r="G422" s="81"/>
      <c r="H422" s="46" t="s">
        <v>1096</v>
      </c>
    </row>
    <row r="423" spans="2:8">
      <c r="B423" s="89"/>
      <c r="C423" s="89"/>
      <c r="D423" s="68" t="s">
        <v>710</v>
      </c>
      <c r="E423" s="46"/>
      <c r="F423" s="70"/>
      <c r="G423" s="81"/>
      <c r="H423" s="46" t="s">
        <v>1097</v>
      </c>
    </row>
    <row r="424" spans="2:8">
      <c r="B424" s="89"/>
      <c r="C424" s="89"/>
      <c r="D424" s="68" t="s">
        <v>711</v>
      </c>
      <c r="E424" s="46"/>
      <c r="F424" s="70"/>
      <c r="G424" s="81"/>
      <c r="H424" s="54" t="s">
        <v>1098</v>
      </c>
    </row>
    <row r="425" spans="2:8">
      <c r="B425" s="89"/>
      <c r="C425" s="89"/>
      <c r="D425" s="68" t="s">
        <v>159</v>
      </c>
      <c r="E425" s="46"/>
      <c r="F425" s="48"/>
      <c r="G425" s="82"/>
      <c r="H425" s="46" t="s">
        <v>1099</v>
      </c>
    </row>
    <row r="426" spans="2:8">
      <c r="B426" s="89">
        <v>35</v>
      </c>
      <c r="C426" s="89" t="s">
        <v>1100</v>
      </c>
      <c r="D426" s="68" t="s">
        <v>0</v>
      </c>
      <c r="E426" s="69"/>
      <c r="F426" s="70"/>
      <c r="G426" s="81"/>
      <c r="H426" s="46" t="s">
        <v>1101</v>
      </c>
    </row>
    <row r="427" spans="2:8">
      <c r="B427" s="89"/>
      <c r="C427" s="89"/>
      <c r="D427" s="68" t="s">
        <v>714</v>
      </c>
      <c r="E427" s="69"/>
      <c r="F427" s="70"/>
      <c r="G427" s="81"/>
      <c r="H427" s="46" t="s">
        <v>1102</v>
      </c>
    </row>
    <row r="428" spans="2:8">
      <c r="B428" s="89"/>
      <c r="C428" s="89"/>
      <c r="D428" s="68" t="s">
        <v>140</v>
      </c>
      <c r="E428" s="69"/>
      <c r="F428" s="70"/>
      <c r="G428" s="81"/>
      <c r="H428" s="46" t="s">
        <v>1103</v>
      </c>
    </row>
    <row r="429" spans="2:8">
      <c r="B429" s="89"/>
      <c r="C429" s="89"/>
      <c r="D429" s="68" t="s">
        <v>60</v>
      </c>
      <c r="E429" s="46"/>
      <c r="F429" s="48"/>
      <c r="G429" s="82"/>
      <c r="H429" s="46" t="s">
        <v>788</v>
      </c>
    </row>
    <row r="430" spans="2:8">
      <c r="B430" s="89"/>
      <c r="C430" s="89"/>
      <c r="D430" s="68" t="s">
        <v>153</v>
      </c>
      <c r="E430" s="46"/>
      <c r="F430" s="70"/>
      <c r="G430" s="81"/>
      <c r="H430" s="46" t="s">
        <v>1104</v>
      </c>
    </row>
    <row r="431" spans="2:8">
      <c r="B431" s="89"/>
      <c r="C431" s="89"/>
      <c r="D431" s="68" t="s">
        <v>715</v>
      </c>
      <c r="E431" s="69"/>
      <c r="F431" s="70"/>
      <c r="G431" s="81"/>
      <c r="H431" s="46" t="s">
        <v>1105</v>
      </c>
    </row>
    <row r="432" spans="2:8">
      <c r="B432" s="89"/>
      <c r="C432" s="89"/>
      <c r="D432" s="68" t="s">
        <v>498</v>
      </c>
      <c r="E432" s="69"/>
      <c r="F432" s="70"/>
      <c r="G432" s="81"/>
      <c r="H432" s="46" t="s">
        <v>1106</v>
      </c>
    </row>
    <row r="433" spans="2:8">
      <c r="B433" s="89"/>
      <c r="C433" s="89"/>
      <c r="D433" s="68" t="s">
        <v>499</v>
      </c>
      <c r="E433" s="69"/>
      <c r="F433" s="70"/>
      <c r="G433" s="81"/>
      <c r="H433" s="46" t="s">
        <v>1107</v>
      </c>
    </row>
    <row r="434" spans="2:8">
      <c r="B434" s="89"/>
      <c r="C434" s="89"/>
      <c r="D434" s="68" t="s">
        <v>716</v>
      </c>
      <c r="E434" s="69"/>
      <c r="F434" s="70"/>
      <c r="G434" s="81"/>
      <c r="H434" s="46" t="s">
        <v>1108</v>
      </c>
    </row>
    <row r="435" spans="2:8">
      <c r="B435" s="89"/>
      <c r="C435" s="89"/>
      <c r="D435" s="68" t="s">
        <v>262</v>
      </c>
      <c r="E435" s="46"/>
      <c r="F435" s="48"/>
      <c r="G435" s="82"/>
      <c r="H435" s="46" t="s">
        <v>1097</v>
      </c>
    </row>
    <row r="436" spans="2:8">
      <c r="B436" s="89">
        <v>36</v>
      </c>
      <c r="C436" s="89" t="s">
        <v>108</v>
      </c>
      <c r="D436" s="68" t="s">
        <v>720</v>
      </c>
      <c r="E436" s="69"/>
      <c r="F436" s="70"/>
      <c r="G436" s="81"/>
      <c r="H436" s="46" t="s">
        <v>1109</v>
      </c>
    </row>
    <row r="437" spans="2:8">
      <c r="B437" s="89"/>
      <c r="C437" s="89"/>
      <c r="D437" s="68" t="s">
        <v>225</v>
      </c>
      <c r="E437" s="46"/>
      <c r="F437" s="48"/>
      <c r="G437" s="82"/>
      <c r="H437" s="46" t="s">
        <v>848</v>
      </c>
    </row>
    <row r="438" spans="2:8">
      <c r="B438" s="89"/>
      <c r="C438" s="89"/>
      <c r="D438" s="68" t="s">
        <v>644</v>
      </c>
      <c r="E438" s="46"/>
      <c r="F438" s="70"/>
      <c r="G438" s="81"/>
      <c r="H438" s="46"/>
    </row>
    <row r="439" spans="2:8">
      <c r="B439" s="89"/>
      <c r="C439" s="89"/>
      <c r="D439" s="75" t="s">
        <v>721</v>
      </c>
      <c r="E439" s="69"/>
      <c r="F439" s="70"/>
      <c r="G439" s="81"/>
      <c r="H439" s="46" t="s">
        <v>1110</v>
      </c>
    </row>
    <row r="440" spans="2:8">
      <c r="B440" s="89"/>
      <c r="C440" s="89"/>
      <c r="D440" s="68" t="s">
        <v>722</v>
      </c>
      <c r="E440" s="46"/>
      <c r="F440" s="70"/>
      <c r="G440" s="81"/>
      <c r="H440" s="46" t="s">
        <v>1111</v>
      </c>
    </row>
    <row r="441" spans="2:8">
      <c r="B441" s="89"/>
      <c r="C441" s="89"/>
      <c r="D441" s="68" t="s">
        <v>723</v>
      </c>
      <c r="E441" s="69"/>
      <c r="F441" s="70"/>
      <c r="G441" s="81"/>
      <c r="H441" s="46" t="s">
        <v>1112</v>
      </c>
    </row>
    <row r="442" spans="2:8" ht="49.5">
      <c r="B442" s="89"/>
      <c r="C442" s="89"/>
      <c r="D442" s="68" t="s">
        <v>724</v>
      </c>
      <c r="E442" s="46"/>
      <c r="F442" s="70"/>
      <c r="G442" s="81"/>
      <c r="H442" s="54" t="s">
        <v>1113</v>
      </c>
    </row>
    <row r="443" spans="2:8" ht="49.5">
      <c r="B443" s="89"/>
      <c r="C443" s="89"/>
      <c r="D443" s="68" t="s">
        <v>725</v>
      </c>
      <c r="E443" s="46"/>
      <c r="F443" s="70"/>
      <c r="G443" s="81"/>
      <c r="H443" s="54" t="s">
        <v>1114</v>
      </c>
    </row>
    <row r="444" spans="2:8" ht="49.5">
      <c r="B444" s="89"/>
      <c r="C444" s="89"/>
      <c r="D444" s="68" t="s">
        <v>726</v>
      </c>
      <c r="E444" s="46"/>
      <c r="F444" s="70"/>
      <c r="G444" s="81"/>
      <c r="H444" s="54" t="s">
        <v>1115</v>
      </c>
    </row>
    <row r="445" spans="2:8">
      <c r="B445" s="89"/>
      <c r="C445" s="89"/>
      <c r="D445" s="68" t="s">
        <v>727</v>
      </c>
      <c r="E445" s="69"/>
      <c r="F445" s="70"/>
      <c r="G445" s="81"/>
      <c r="H445" s="46" t="s">
        <v>1116</v>
      </c>
    </row>
    <row r="446" spans="2:8">
      <c r="B446" s="89"/>
      <c r="C446" s="89"/>
      <c r="D446" s="68" t="s">
        <v>123</v>
      </c>
      <c r="E446" s="46"/>
      <c r="F446" s="70"/>
      <c r="G446" s="81"/>
      <c r="H446" s="46" t="s">
        <v>5</v>
      </c>
    </row>
    <row r="447" spans="2:8">
      <c r="B447" s="89"/>
      <c r="C447" s="89"/>
      <c r="D447" s="68" t="s">
        <v>297</v>
      </c>
      <c r="E447" s="69"/>
      <c r="F447" s="72"/>
      <c r="G447" s="83"/>
      <c r="H447" s="46" t="s">
        <v>1042</v>
      </c>
    </row>
    <row r="448" spans="2:8">
      <c r="B448" s="89">
        <v>37</v>
      </c>
      <c r="C448" s="89" t="s">
        <v>109</v>
      </c>
      <c r="D448" s="68" t="s">
        <v>14</v>
      </c>
      <c r="E448" s="69"/>
      <c r="F448" s="70"/>
      <c r="G448" s="81"/>
      <c r="H448" s="46" t="s">
        <v>1117</v>
      </c>
    </row>
    <row r="449" spans="2:8">
      <c r="B449" s="89"/>
      <c r="C449" s="89"/>
      <c r="D449" s="68" t="s">
        <v>720</v>
      </c>
      <c r="E449" s="69"/>
      <c r="F449" s="70"/>
      <c r="G449" s="81"/>
      <c r="H449" s="46" t="s">
        <v>1109</v>
      </c>
    </row>
    <row r="450" spans="2:8">
      <c r="B450" s="89"/>
      <c r="C450" s="89"/>
      <c r="D450" s="68" t="s">
        <v>225</v>
      </c>
      <c r="E450" s="46"/>
      <c r="F450" s="48"/>
      <c r="G450" s="82"/>
      <c r="H450" s="46" t="s">
        <v>848</v>
      </c>
    </row>
    <row r="451" spans="2:8">
      <c r="B451" s="89"/>
      <c r="C451" s="89"/>
      <c r="D451" s="68" t="s">
        <v>1118</v>
      </c>
      <c r="E451" s="46"/>
      <c r="F451" s="70"/>
      <c r="G451" s="81"/>
      <c r="H451" s="46" t="s">
        <v>1119</v>
      </c>
    </row>
    <row r="452" spans="2:8">
      <c r="B452" s="89"/>
      <c r="C452" s="89"/>
      <c r="D452" s="68" t="s">
        <v>1120</v>
      </c>
      <c r="E452" s="46"/>
      <c r="F452" s="70"/>
      <c r="G452" s="81"/>
      <c r="H452" s="46" t="s">
        <v>1121</v>
      </c>
    </row>
    <row r="453" spans="2:8">
      <c r="B453" s="89"/>
      <c r="C453" s="89"/>
      <c r="D453" s="68" t="s">
        <v>1122</v>
      </c>
      <c r="E453" s="46"/>
      <c r="F453" s="70"/>
      <c r="G453" s="81"/>
      <c r="H453" s="46" t="s">
        <v>1123</v>
      </c>
    </row>
    <row r="454" spans="2:8">
      <c r="B454" s="89"/>
      <c r="C454" s="89"/>
      <c r="D454" s="68" t="s">
        <v>1124</v>
      </c>
      <c r="E454" s="46"/>
      <c r="F454" s="70"/>
      <c r="G454" s="81"/>
      <c r="H454" s="46" t="s">
        <v>1125</v>
      </c>
    </row>
    <row r="455" spans="2:8">
      <c r="B455" s="89"/>
      <c r="C455" s="89"/>
      <c r="D455" s="68" t="s">
        <v>1126</v>
      </c>
      <c r="E455" s="46"/>
      <c r="F455" s="70"/>
      <c r="G455" s="81"/>
      <c r="H455" s="46" t="s">
        <v>1127</v>
      </c>
    </row>
    <row r="456" spans="2:8">
      <c r="B456" s="89"/>
      <c r="C456" s="89"/>
      <c r="D456" s="68" t="s">
        <v>709</v>
      </c>
      <c r="E456" s="76"/>
      <c r="F456" s="70"/>
      <c r="G456" s="81"/>
      <c r="H456" s="54" t="s">
        <v>1128</v>
      </c>
    </row>
    <row r="457" spans="2:8">
      <c r="B457" s="89"/>
      <c r="C457" s="89"/>
      <c r="D457" s="68" t="s">
        <v>735</v>
      </c>
      <c r="E457" s="69"/>
      <c r="F457" s="70"/>
      <c r="G457" s="81"/>
      <c r="H457" s="46" t="s">
        <v>1129</v>
      </c>
    </row>
    <row r="458" spans="2:8">
      <c r="B458" s="89"/>
      <c r="C458" s="89"/>
      <c r="D458" s="68" t="s">
        <v>736</v>
      </c>
      <c r="E458" s="69"/>
      <c r="F458" s="70"/>
      <c r="G458" s="81"/>
      <c r="H458" s="46" t="s">
        <v>1130</v>
      </c>
    </row>
    <row r="459" spans="2:8">
      <c r="B459" s="89"/>
      <c r="C459" s="89"/>
      <c r="D459" s="68" t="s">
        <v>262</v>
      </c>
      <c r="E459" s="46"/>
      <c r="F459" s="48"/>
      <c r="G459" s="82"/>
      <c r="H459" s="46" t="s">
        <v>1131</v>
      </c>
    </row>
    <row r="460" spans="2:8">
      <c r="B460" s="89">
        <v>38</v>
      </c>
      <c r="C460" s="89" t="s">
        <v>110</v>
      </c>
      <c r="D460" s="68" t="s">
        <v>737</v>
      </c>
      <c r="E460" s="69"/>
      <c r="F460" s="70"/>
      <c r="G460" s="81"/>
      <c r="H460" s="46" t="s">
        <v>1132</v>
      </c>
    </row>
    <row r="461" spans="2:8">
      <c r="B461" s="89"/>
      <c r="C461" s="89"/>
      <c r="D461" s="68" t="s">
        <v>738</v>
      </c>
      <c r="E461" s="69"/>
      <c r="F461" s="70"/>
      <c r="G461" s="81"/>
      <c r="H461" s="46" t="s">
        <v>1133</v>
      </c>
    </row>
    <row r="462" spans="2:8">
      <c r="B462" s="89"/>
      <c r="C462" s="89"/>
      <c r="D462" s="68" t="s">
        <v>739</v>
      </c>
      <c r="E462" s="69"/>
      <c r="F462" s="70"/>
      <c r="G462" s="81"/>
      <c r="H462" s="46" t="s">
        <v>1134</v>
      </c>
    </row>
    <row r="463" spans="2:8">
      <c r="B463" s="89"/>
      <c r="C463" s="89"/>
      <c r="D463" s="68" t="s">
        <v>740</v>
      </c>
      <c r="E463" s="69"/>
      <c r="F463" s="70"/>
      <c r="G463" s="81"/>
      <c r="H463" s="46" t="s">
        <v>1135</v>
      </c>
    </row>
    <row r="464" spans="2:8">
      <c r="B464" s="89"/>
      <c r="C464" s="89"/>
      <c r="D464" s="68" t="s">
        <v>741</v>
      </c>
      <c r="E464" s="69"/>
      <c r="F464" s="70"/>
      <c r="G464" s="81"/>
      <c r="H464" s="46" t="s">
        <v>1136</v>
      </c>
    </row>
    <row r="465" spans="2:8">
      <c r="B465" s="89"/>
      <c r="C465" s="89"/>
      <c r="D465" s="68" t="s">
        <v>742</v>
      </c>
      <c r="E465" s="69"/>
      <c r="F465" s="70"/>
      <c r="G465" s="81"/>
      <c r="H465" s="46" t="s">
        <v>1137</v>
      </c>
    </row>
    <row r="466" spans="2:8">
      <c r="B466" s="89"/>
      <c r="C466" s="89"/>
      <c r="D466" s="68" t="s">
        <v>262</v>
      </c>
      <c r="E466" s="46"/>
      <c r="F466" s="48"/>
      <c r="G466" s="82"/>
      <c r="H466" s="46" t="s">
        <v>1138</v>
      </c>
    </row>
    <row r="467" spans="2:8">
      <c r="B467" s="89">
        <v>39</v>
      </c>
      <c r="C467" s="89" t="s">
        <v>111</v>
      </c>
      <c r="D467" s="68" t="s">
        <v>1139</v>
      </c>
      <c r="E467" s="46"/>
      <c r="F467" s="70"/>
      <c r="G467" s="81"/>
      <c r="H467" s="55" t="s">
        <v>1140</v>
      </c>
    </row>
    <row r="468" spans="2:8">
      <c r="B468" s="89"/>
      <c r="C468" s="89"/>
      <c r="D468" s="68" t="s">
        <v>1141</v>
      </c>
      <c r="E468" s="69"/>
      <c r="F468" s="70"/>
      <c r="G468" s="81"/>
      <c r="H468" s="55" t="s">
        <v>1142</v>
      </c>
    </row>
    <row r="469" spans="2:8">
      <c r="B469" s="89"/>
      <c r="C469" s="89"/>
      <c r="D469" s="68" t="s">
        <v>1143</v>
      </c>
      <c r="E469" s="46"/>
      <c r="F469" s="70"/>
      <c r="G469" s="81"/>
      <c r="H469" s="55" t="s">
        <v>1144</v>
      </c>
    </row>
    <row r="470" spans="2:8">
      <c r="B470" s="89"/>
      <c r="C470" s="89"/>
      <c r="D470" s="68" t="s">
        <v>1145</v>
      </c>
      <c r="E470" s="46"/>
      <c r="F470" s="70"/>
      <c r="G470" s="81"/>
      <c r="H470" s="46" t="s">
        <v>1146</v>
      </c>
    </row>
    <row r="471" spans="2:8">
      <c r="B471" s="89"/>
      <c r="C471" s="89"/>
      <c r="D471" s="68" t="s">
        <v>791</v>
      </c>
      <c r="E471" s="46"/>
      <c r="F471" s="70"/>
      <c r="G471" s="81"/>
      <c r="H471" s="46" t="s">
        <v>1147</v>
      </c>
    </row>
    <row r="472" spans="2:8">
      <c r="B472" s="89"/>
      <c r="C472" s="89"/>
      <c r="D472" s="68" t="s">
        <v>793</v>
      </c>
      <c r="E472" s="46"/>
      <c r="F472" s="70"/>
      <c r="G472" s="81"/>
      <c r="H472" s="46" t="s">
        <v>1148</v>
      </c>
    </row>
    <row r="473" spans="2:8">
      <c r="B473" s="89"/>
      <c r="C473" s="89"/>
      <c r="D473" s="68" t="s">
        <v>1149</v>
      </c>
      <c r="E473" s="46"/>
      <c r="F473" s="70"/>
      <c r="G473" s="81"/>
      <c r="H473" s="46" t="s">
        <v>1150</v>
      </c>
    </row>
    <row r="474" spans="2:8">
      <c r="B474" s="89">
        <v>40</v>
      </c>
      <c r="C474" s="89" t="s">
        <v>112</v>
      </c>
      <c r="D474" s="68" t="s">
        <v>748</v>
      </c>
      <c r="E474" s="69"/>
      <c r="F474" s="70"/>
      <c r="G474" s="81"/>
      <c r="H474" s="46" t="s">
        <v>1151</v>
      </c>
    </row>
    <row r="475" spans="2:8">
      <c r="B475" s="89"/>
      <c r="C475" s="89"/>
      <c r="D475" s="68" t="s">
        <v>297</v>
      </c>
      <c r="E475" s="48"/>
      <c r="F475" s="70"/>
      <c r="G475" s="81"/>
      <c r="H475" s="46" t="s">
        <v>1152</v>
      </c>
    </row>
    <row r="476" spans="2:8">
      <c r="B476" s="89"/>
      <c r="C476" s="89"/>
      <c r="D476" s="68" t="s">
        <v>749</v>
      </c>
      <c r="E476" s="69"/>
      <c r="F476" s="70"/>
      <c r="G476" s="81"/>
      <c r="H476" s="46" t="s">
        <v>1153</v>
      </c>
    </row>
    <row r="477" spans="2:8">
      <c r="B477" s="89"/>
      <c r="C477" s="89"/>
      <c r="D477" s="68" t="s">
        <v>1154</v>
      </c>
      <c r="E477" s="69"/>
      <c r="F477" s="46"/>
      <c r="G477" s="55"/>
      <c r="H477" s="46" t="s">
        <v>1155</v>
      </c>
    </row>
    <row r="478" spans="2:8">
      <c r="B478" s="89"/>
      <c r="C478" s="89"/>
      <c r="D478" s="68" t="s">
        <v>1156</v>
      </c>
      <c r="E478" s="69"/>
      <c r="F478" s="46"/>
      <c r="G478" s="55"/>
      <c r="H478" s="46" t="s">
        <v>1157</v>
      </c>
    </row>
    <row r="479" spans="2:8">
      <c r="B479" s="89"/>
      <c r="C479" s="89"/>
      <c r="D479" s="68" t="s">
        <v>1158</v>
      </c>
      <c r="E479" s="69"/>
      <c r="F479" s="46"/>
      <c r="G479" s="55"/>
      <c r="H479" s="46" t="s">
        <v>1159</v>
      </c>
    </row>
    <row r="480" spans="2:8">
      <c r="B480" s="89"/>
      <c r="C480" s="89"/>
      <c r="D480" s="68" t="s">
        <v>753</v>
      </c>
      <c r="E480" s="69"/>
      <c r="F480" s="46"/>
      <c r="G480" s="55"/>
      <c r="H480" s="46" t="s">
        <v>1160</v>
      </c>
    </row>
    <row r="481" spans="2:8">
      <c r="B481" s="89"/>
      <c r="C481" s="89"/>
      <c r="D481" s="68" t="s">
        <v>754</v>
      </c>
      <c r="E481" s="69"/>
      <c r="F481" s="46"/>
      <c r="G481" s="55"/>
      <c r="H481" s="46" t="s">
        <v>1161</v>
      </c>
    </row>
  </sheetData>
  <mergeCells count="80">
    <mergeCell ref="B24:B26"/>
    <mergeCell ref="C24:C26"/>
    <mergeCell ref="B27:B33"/>
    <mergeCell ref="C27:C33"/>
    <mergeCell ref="B34:B36"/>
    <mergeCell ref="C34:C36"/>
    <mergeCell ref="B3:B16"/>
    <mergeCell ref="C3:C16"/>
    <mergeCell ref="B17:B18"/>
    <mergeCell ref="C17:C18"/>
    <mergeCell ref="B19:B23"/>
    <mergeCell ref="C19:C23"/>
    <mergeCell ref="B48:B50"/>
    <mergeCell ref="C48:C50"/>
    <mergeCell ref="B51:B54"/>
    <mergeCell ref="C51:C54"/>
    <mergeCell ref="B55:B57"/>
    <mergeCell ref="C55:C57"/>
    <mergeCell ref="B37:B38"/>
    <mergeCell ref="C37:C38"/>
    <mergeCell ref="B39:B45"/>
    <mergeCell ref="C39:C45"/>
    <mergeCell ref="B46:B47"/>
    <mergeCell ref="C46:C47"/>
    <mergeCell ref="B67:B78"/>
    <mergeCell ref="C67:C78"/>
    <mergeCell ref="B79:B83"/>
    <mergeCell ref="C79:C83"/>
    <mergeCell ref="B84:B87"/>
    <mergeCell ref="C84:C87"/>
    <mergeCell ref="B58:B60"/>
    <mergeCell ref="C58:C60"/>
    <mergeCell ref="B61:B63"/>
    <mergeCell ref="C61:C63"/>
    <mergeCell ref="B64:B66"/>
    <mergeCell ref="C64:C66"/>
    <mergeCell ref="B107:B137"/>
    <mergeCell ref="C107:C137"/>
    <mergeCell ref="B138:B159"/>
    <mergeCell ref="C138:C159"/>
    <mergeCell ref="B160:B187"/>
    <mergeCell ref="C160:C187"/>
    <mergeCell ref="B88:B95"/>
    <mergeCell ref="C88:C95"/>
    <mergeCell ref="B96:B103"/>
    <mergeCell ref="C96:C103"/>
    <mergeCell ref="B104:B106"/>
    <mergeCell ref="C104:C106"/>
    <mergeCell ref="B448:B459"/>
    <mergeCell ref="C448:C459"/>
    <mergeCell ref="B188:B212"/>
    <mergeCell ref="C188:C212"/>
    <mergeCell ref="B213:B219"/>
    <mergeCell ref="C213:C219"/>
    <mergeCell ref="B220:B227"/>
    <mergeCell ref="C220:C227"/>
    <mergeCell ref="B228:B238"/>
    <mergeCell ref="C228:C238"/>
    <mergeCell ref="B239:B270"/>
    <mergeCell ref="C239:C270"/>
    <mergeCell ref="B271:B310"/>
    <mergeCell ref="C271:C310"/>
    <mergeCell ref="B414:B425"/>
    <mergeCell ref="C414:C425"/>
    <mergeCell ref="B426:B435"/>
    <mergeCell ref="C426:C435"/>
    <mergeCell ref="B436:B447"/>
    <mergeCell ref="C436:C447"/>
    <mergeCell ref="B311:B322"/>
    <mergeCell ref="C311:C322"/>
    <mergeCell ref="B323:B381"/>
    <mergeCell ref="C323:C381"/>
    <mergeCell ref="B382:B413"/>
    <mergeCell ref="C382:C413"/>
    <mergeCell ref="B460:B466"/>
    <mergeCell ref="C460:C466"/>
    <mergeCell ref="B467:B473"/>
    <mergeCell ref="C467:C473"/>
    <mergeCell ref="B474:B481"/>
    <mergeCell ref="C474:C481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5"/>
  <sheetViews>
    <sheetView topLeftCell="D1" workbookViewId="0">
      <selection activeCell="I5" sqref="I5"/>
    </sheetView>
  </sheetViews>
  <sheetFormatPr defaultRowHeight="16.5"/>
  <cols>
    <col min="1" max="1" width="10.875" bestFit="1" customWidth="1"/>
    <col min="2" max="2" width="10.5" bestFit="1" customWidth="1"/>
    <col min="3" max="3" width="21.75" bestFit="1" customWidth="1"/>
    <col min="4" max="4" width="23.25" bestFit="1" customWidth="1"/>
    <col min="5" max="5" width="19.375" bestFit="1" customWidth="1"/>
    <col min="6" max="6" width="19.25" bestFit="1" customWidth="1"/>
    <col min="7" max="7" width="12.25" bestFit="1" customWidth="1"/>
    <col min="8" max="8" width="12.875" bestFit="1" customWidth="1"/>
    <col min="9" max="9" width="16.5" bestFit="1" customWidth="1"/>
    <col min="10" max="10" width="19.125" bestFit="1" customWidth="1"/>
    <col min="11" max="11" width="26.375" bestFit="1" customWidth="1"/>
    <col min="12" max="12" width="33.375" bestFit="1" customWidth="1"/>
    <col min="13" max="13" width="22" bestFit="1" customWidth="1"/>
    <col min="14" max="14" width="21.625" bestFit="1" customWidth="1"/>
  </cols>
  <sheetData>
    <row r="1" spans="1:14">
      <c r="A1" s="38" t="s">
        <v>756</v>
      </c>
      <c r="B1" s="38" t="s">
        <v>36</v>
      </c>
      <c r="C1" s="38" t="s">
        <v>38</v>
      </c>
      <c r="D1" s="38" t="s">
        <v>40</v>
      </c>
      <c r="E1" s="38" t="s">
        <v>42</v>
      </c>
      <c r="F1" s="38" t="s">
        <v>43</v>
      </c>
      <c r="G1" s="38" t="s">
        <v>44</v>
      </c>
      <c r="H1" s="38" t="s">
        <v>45</v>
      </c>
      <c r="I1" s="38" t="s">
        <v>46</v>
      </c>
      <c r="J1" s="38" t="s">
        <v>47</v>
      </c>
      <c r="K1" s="38" t="s">
        <v>48</v>
      </c>
      <c r="L1" s="38" t="s">
        <v>49</v>
      </c>
      <c r="M1" s="38" t="s">
        <v>50</v>
      </c>
      <c r="N1" s="38" t="s">
        <v>51</v>
      </c>
    </row>
    <row r="2" spans="1:14">
      <c r="A2" s="46">
        <v>5000</v>
      </c>
      <c r="B2" s="46">
        <v>180</v>
      </c>
      <c r="C2" s="46">
        <v>3</v>
      </c>
      <c r="D2" s="46">
        <v>10</v>
      </c>
      <c r="E2" s="46">
        <v>100</v>
      </c>
      <c r="F2" s="46">
        <v>5</v>
      </c>
      <c r="G2" s="46">
        <v>1920</v>
      </c>
      <c r="H2" s="46">
        <v>1080</v>
      </c>
      <c r="I2" s="46">
        <v>1</v>
      </c>
      <c r="J2" s="46">
        <v>100</v>
      </c>
      <c r="K2" s="46">
        <v>4</v>
      </c>
      <c r="L2" s="46">
        <v>3</v>
      </c>
      <c r="M2" s="46">
        <v>90</v>
      </c>
      <c r="N2" s="46">
        <v>30</v>
      </c>
    </row>
    <row r="3" spans="1:14">
      <c r="A3" s="32"/>
      <c r="B3" s="32"/>
      <c r="C3" s="32"/>
    </row>
    <row r="4" spans="1:14">
      <c r="A4" s="32"/>
      <c r="B4" s="32"/>
      <c r="C4" s="32"/>
    </row>
    <row r="5" spans="1:14">
      <c r="A5" s="32"/>
      <c r="B5" s="32"/>
      <c r="C5" s="32"/>
    </row>
    <row r="6" spans="1:14">
      <c r="A6" s="32"/>
      <c r="B6" s="32"/>
      <c r="C6" s="32"/>
    </row>
    <row r="7" spans="1:14">
      <c r="A7" s="32"/>
      <c r="B7" s="32"/>
      <c r="C7" s="32"/>
    </row>
    <row r="8" spans="1:14">
      <c r="A8" s="32"/>
      <c r="B8" s="32"/>
      <c r="C8" s="32"/>
    </row>
    <row r="9" spans="1:14">
      <c r="A9" s="32"/>
      <c r="B9" s="32"/>
      <c r="C9" s="32"/>
    </row>
    <row r="10" spans="1:14">
      <c r="A10" s="32"/>
      <c r="B10" s="32"/>
      <c r="C10" s="32"/>
    </row>
    <row r="11" spans="1:14">
      <c r="A11" s="32"/>
      <c r="B11" s="32"/>
      <c r="C11" s="32"/>
    </row>
    <row r="12" spans="1:14">
      <c r="A12" s="32"/>
      <c r="B12" s="32"/>
      <c r="C12" s="32"/>
    </row>
    <row r="13" spans="1:14">
      <c r="A13" s="32"/>
      <c r="B13" s="32"/>
      <c r="C13" s="32"/>
    </row>
    <row r="14" spans="1:14">
      <c r="A14" s="32"/>
      <c r="B14" s="32"/>
      <c r="C14" s="32"/>
    </row>
    <row r="15" spans="1:14">
      <c r="A15" s="32"/>
      <c r="B15" s="32"/>
      <c r="C15" s="32"/>
    </row>
  </sheetData>
  <phoneticPr fontId="3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"/>
  <sheetViews>
    <sheetView workbookViewId="0">
      <selection activeCell="C13" sqref="C13"/>
    </sheetView>
  </sheetViews>
  <sheetFormatPr defaultRowHeight="16.5"/>
  <cols>
    <col min="1" max="1" width="16.5" bestFit="1" customWidth="1"/>
    <col min="2" max="2" width="11.875" bestFit="1" customWidth="1"/>
    <col min="3" max="3" width="16.5" bestFit="1" customWidth="1"/>
    <col min="4" max="4" width="13.375" bestFit="1" customWidth="1"/>
    <col min="5" max="5" width="20.25" bestFit="1" customWidth="1"/>
    <col min="6" max="6" width="17.125" bestFit="1" customWidth="1"/>
    <col min="7" max="7" width="30.75" bestFit="1" customWidth="1"/>
  </cols>
  <sheetData>
    <row r="1" spans="1:7">
      <c r="A1" s="34" t="s">
        <v>52</v>
      </c>
      <c r="B1" s="34" t="s">
        <v>53</v>
      </c>
      <c r="C1" s="34" t="s">
        <v>54</v>
      </c>
      <c r="D1" s="34" t="s">
        <v>55</v>
      </c>
      <c r="E1" s="34" t="s">
        <v>56</v>
      </c>
      <c r="F1" s="34" t="s">
        <v>57</v>
      </c>
      <c r="G1" s="34" t="s">
        <v>58</v>
      </c>
    </row>
    <row r="2" spans="1:7">
      <c r="A2" s="36">
        <v>500</v>
      </c>
      <c r="B2" s="36">
        <v>500</v>
      </c>
      <c r="C2" s="36">
        <v>0</v>
      </c>
      <c r="D2" s="36">
        <v>25</v>
      </c>
      <c r="E2" s="36">
        <v>0</v>
      </c>
      <c r="F2" s="36">
        <v>1</v>
      </c>
      <c r="G2" s="36">
        <v>2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1"/>
  <sheetViews>
    <sheetView tabSelected="1" workbookViewId="0">
      <selection activeCell="E11" sqref="E11"/>
    </sheetView>
  </sheetViews>
  <sheetFormatPr defaultRowHeight="16.5"/>
  <cols>
    <col min="1" max="1" width="17.625" bestFit="1" customWidth="1"/>
    <col min="2" max="2" width="16.25" bestFit="1" customWidth="1"/>
    <col min="3" max="3" width="13.625" bestFit="1" customWidth="1"/>
    <col min="4" max="4" width="16.625" bestFit="1" customWidth="1"/>
    <col min="5" max="5" width="17.375" bestFit="1" customWidth="1"/>
  </cols>
  <sheetData>
    <row r="1" spans="1:5">
      <c r="A1" s="38" t="s">
        <v>59</v>
      </c>
      <c r="B1" s="38" t="s">
        <v>1162</v>
      </c>
      <c r="C1" s="38" t="s">
        <v>61</v>
      </c>
      <c r="D1" s="38" t="s">
        <v>62</v>
      </c>
      <c r="E1" s="38" t="s">
        <v>63</v>
      </c>
    </row>
    <row r="2" spans="1:5">
      <c r="A2" s="35">
        <v>9999</v>
      </c>
      <c r="B2" s="35" t="s">
        <v>64</v>
      </c>
      <c r="C2" s="35">
        <v>1</v>
      </c>
      <c r="D2" s="35">
        <v>30</v>
      </c>
      <c r="E2" s="35">
        <v>32</v>
      </c>
    </row>
    <row r="3" spans="1:5">
      <c r="A3" s="35">
        <v>9999</v>
      </c>
      <c r="B3" s="35" t="s">
        <v>65</v>
      </c>
      <c r="C3" s="35">
        <v>1</v>
      </c>
      <c r="D3" s="35">
        <v>30</v>
      </c>
      <c r="E3" s="35">
        <v>34</v>
      </c>
    </row>
    <row r="4" spans="1:5">
      <c r="A4" s="35">
        <v>10000</v>
      </c>
      <c r="B4" s="35" t="s">
        <v>66</v>
      </c>
      <c r="C4" s="35">
        <v>1</v>
      </c>
      <c r="D4" s="35">
        <v>25</v>
      </c>
      <c r="E4" s="35">
        <v>25</v>
      </c>
    </row>
    <row r="5" spans="1:5">
      <c r="A5" s="35">
        <v>10500</v>
      </c>
      <c r="B5" s="35" t="s">
        <v>67</v>
      </c>
      <c r="C5" s="35">
        <v>1</v>
      </c>
      <c r="D5" s="35">
        <v>25</v>
      </c>
      <c r="E5" s="35">
        <v>20</v>
      </c>
    </row>
    <row r="6" spans="1:5">
      <c r="A6" s="35">
        <v>10600</v>
      </c>
      <c r="B6" s="35" t="s">
        <v>68</v>
      </c>
      <c r="C6" s="35">
        <v>1</v>
      </c>
      <c r="D6" s="35">
        <v>25</v>
      </c>
      <c r="E6" s="35">
        <v>15</v>
      </c>
    </row>
    <row r="7" spans="1:5">
      <c r="A7" s="35">
        <v>11100</v>
      </c>
      <c r="B7" s="35" t="s">
        <v>69</v>
      </c>
      <c r="C7" s="35">
        <v>1</v>
      </c>
      <c r="D7" s="35">
        <v>15</v>
      </c>
      <c r="E7" s="35">
        <v>15</v>
      </c>
    </row>
    <row r="8" spans="1:5">
      <c r="A8" s="35">
        <v>15000</v>
      </c>
      <c r="B8" s="35" t="s">
        <v>70</v>
      </c>
      <c r="C8" s="35">
        <v>1</v>
      </c>
      <c r="D8" s="35">
        <v>10</v>
      </c>
      <c r="E8" s="35">
        <v>10</v>
      </c>
    </row>
    <row r="9" spans="1:5">
      <c r="A9" s="35">
        <v>10100</v>
      </c>
      <c r="B9" s="35" t="s">
        <v>71</v>
      </c>
      <c r="C9" s="35">
        <v>1</v>
      </c>
      <c r="D9" s="35">
        <v>18</v>
      </c>
      <c r="E9" s="35">
        <v>24</v>
      </c>
    </row>
    <row r="10" spans="1:5">
      <c r="A10" s="35">
        <v>11200</v>
      </c>
      <c r="B10" s="35" t="s">
        <v>72</v>
      </c>
      <c r="C10" s="35">
        <v>3</v>
      </c>
      <c r="D10" s="35">
        <v>793.12</v>
      </c>
      <c r="E10" s="35">
        <v>5382.65</v>
      </c>
    </row>
    <row r="11" spans="1:5">
      <c r="A11" s="35">
        <v>11300</v>
      </c>
      <c r="B11" s="35" t="s">
        <v>73</v>
      </c>
      <c r="C11" s="35">
        <v>1</v>
      </c>
      <c r="D11" s="35">
        <v>-377.32</v>
      </c>
      <c r="E11" s="35">
        <v>1661.99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2"/>
  <sheetViews>
    <sheetView workbookViewId="0">
      <selection activeCell="K28" sqref="K28"/>
    </sheetView>
  </sheetViews>
  <sheetFormatPr defaultRowHeight="16.5"/>
  <sheetData>
    <row r="1" spans="1:3">
      <c r="A1" s="34" t="s">
        <v>116</v>
      </c>
      <c r="B1" s="34" t="s">
        <v>117</v>
      </c>
      <c r="C1" s="34" t="s">
        <v>118</v>
      </c>
    </row>
    <row r="2" spans="1:3">
      <c r="A2" s="46">
        <v>700</v>
      </c>
      <c r="B2" s="46">
        <v>45</v>
      </c>
      <c r="C2" s="46">
        <v>0</v>
      </c>
    </row>
    <row r="3" spans="1:3">
      <c r="A3" s="46">
        <v>680</v>
      </c>
      <c r="B3" s="46">
        <v>45</v>
      </c>
      <c r="C3" s="46">
        <v>0</v>
      </c>
    </row>
    <row r="4" spans="1:3">
      <c r="A4" s="46">
        <v>660</v>
      </c>
      <c r="B4" s="46">
        <v>44</v>
      </c>
      <c r="C4" s="46">
        <v>0</v>
      </c>
    </row>
    <row r="5" spans="1:3">
      <c r="A5" s="46">
        <v>640</v>
      </c>
      <c r="B5" s="46">
        <v>43</v>
      </c>
      <c r="C5" s="46">
        <v>0</v>
      </c>
    </row>
    <row r="6" spans="1:3">
      <c r="A6" s="46">
        <v>620</v>
      </c>
      <c r="B6" s="46">
        <v>42</v>
      </c>
      <c r="C6" s="46">
        <v>1</v>
      </c>
    </row>
    <row r="7" spans="1:3">
      <c r="A7" s="46">
        <v>600</v>
      </c>
      <c r="B7" s="46">
        <v>41</v>
      </c>
      <c r="C7" s="46">
        <v>1</v>
      </c>
    </row>
    <row r="8" spans="1:3">
      <c r="A8" s="46">
        <v>580</v>
      </c>
      <c r="B8" s="46">
        <v>41</v>
      </c>
      <c r="C8" s="46">
        <v>1</v>
      </c>
    </row>
    <row r="9" spans="1:3">
      <c r="A9" s="46">
        <v>560</v>
      </c>
      <c r="B9" s="46">
        <v>40</v>
      </c>
      <c r="C9" s="46">
        <v>1</v>
      </c>
    </row>
    <row r="10" spans="1:3">
      <c r="A10" s="46">
        <v>540</v>
      </c>
      <c r="B10" s="46">
        <v>39</v>
      </c>
      <c r="C10" s="46">
        <v>2</v>
      </c>
    </row>
    <row r="11" spans="1:3">
      <c r="A11" s="46">
        <v>520</v>
      </c>
      <c r="B11" s="46">
        <v>38</v>
      </c>
      <c r="C11" s="46">
        <v>2</v>
      </c>
    </row>
    <row r="12" spans="1:3">
      <c r="A12" s="46">
        <v>500</v>
      </c>
      <c r="B12" s="46">
        <v>37</v>
      </c>
      <c r="C12" s="46">
        <v>2</v>
      </c>
    </row>
    <row r="13" spans="1:3">
      <c r="A13" s="46">
        <v>480</v>
      </c>
      <c r="B13" s="46">
        <v>37</v>
      </c>
      <c r="C13" s="46">
        <v>3</v>
      </c>
    </row>
    <row r="14" spans="1:3">
      <c r="A14" s="46">
        <v>460</v>
      </c>
      <c r="B14" s="46">
        <v>36</v>
      </c>
      <c r="C14" s="46">
        <v>3</v>
      </c>
    </row>
    <row r="15" spans="1:3">
      <c r="A15" s="46">
        <v>440</v>
      </c>
      <c r="B15" s="46">
        <v>35</v>
      </c>
      <c r="C15" s="46">
        <v>3</v>
      </c>
    </row>
    <row r="16" spans="1:3">
      <c r="A16" s="46">
        <v>420</v>
      </c>
      <c r="B16" s="46">
        <v>34</v>
      </c>
      <c r="C16" s="46">
        <v>3</v>
      </c>
    </row>
    <row r="17" spans="1:3">
      <c r="A17" s="46">
        <v>400</v>
      </c>
      <c r="B17" s="46">
        <v>34</v>
      </c>
      <c r="C17" s="46">
        <v>4</v>
      </c>
    </row>
    <row r="18" spans="1:3">
      <c r="A18" s="46">
        <v>380</v>
      </c>
      <c r="B18" s="46">
        <v>33</v>
      </c>
      <c r="C18" s="46">
        <v>4</v>
      </c>
    </row>
    <row r="19" spans="1:3">
      <c r="A19" s="46">
        <v>360</v>
      </c>
      <c r="B19" s="46">
        <v>32</v>
      </c>
      <c r="C19" s="46">
        <v>4</v>
      </c>
    </row>
    <row r="20" spans="1:3">
      <c r="A20" s="46">
        <v>340</v>
      </c>
      <c r="B20" s="46">
        <v>31</v>
      </c>
      <c r="C20" s="46">
        <v>4</v>
      </c>
    </row>
    <row r="21" spans="1:3">
      <c r="A21" s="46">
        <v>320</v>
      </c>
      <c r="B21" s="46">
        <v>31</v>
      </c>
      <c r="C21" s="46">
        <v>5</v>
      </c>
    </row>
    <row r="22" spans="1:3">
      <c r="A22" s="46">
        <v>300</v>
      </c>
      <c r="B22" s="46">
        <v>30</v>
      </c>
      <c r="C22" s="46">
        <v>5</v>
      </c>
    </row>
    <row r="23" spans="1:3">
      <c r="A23" s="46">
        <v>280</v>
      </c>
      <c r="B23" s="46">
        <v>29</v>
      </c>
      <c r="C23" s="46">
        <v>5</v>
      </c>
    </row>
    <row r="24" spans="1:3">
      <c r="A24" s="46">
        <v>260</v>
      </c>
      <c r="B24" s="46">
        <v>29</v>
      </c>
      <c r="C24" s="46">
        <v>6</v>
      </c>
    </row>
    <row r="25" spans="1:3">
      <c r="A25" s="46">
        <v>240</v>
      </c>
      <c r="B25" s="46">
        <v>28</v>
      </c>
      <c r="C25" s="46">
        <v>6</v>
      </c>
    </row>
    <row r="26" spans="1:3">
      <c r="A26" s="46">
        <v>220</v>
      </c>
      <c r="B26" s="46">
        <v>27</v>
      </c>
      <c r="C26" s="46">
        <v>6</v>
      </c>
    </row>
    <row r="27" spans="1:3">
      <c r="A27" s="46">
        <v>200</v>
      </c>
      <c r="B27" s="46">
        <v>27</v>
      </c>
      <c r="C27" s="46">
        <v>7</v>
      </c>
    </row>
    <row r="28" spans="1:3">
      <c r="A28" s="46">
        <v>180</v>
      </c>
      <c r="B28" s="46">
        <v>26</v>
      </c>
      <c r="C28" s="46">
        <v>7</v>
      </c>
    </row>
    <row r="29" spans="1:3">
      <c r="A29" s="46">
        <v>160</v>
      </c>
      <c r="B29" s="46">
        <v>25</v>
      </c>
      <c r="C29" s="46">
        <v>7</v>
      </c>
    </row>
    <row r="30" spans="1:3">
      <c r="A30" s="46">
        <v>140</v>
      </c>
      <c r="B30" s="46">
        <v>25</v>
      </c>
      <c r="C30" s="46">
        <v>7</v>
      </c>
    </row>
    <row r="31" spans="1:3">
      <c r="A31" s="46">
        <v>120</v>
      </c>
      <c r="B31" s="46">
        <v>24</v>
      </c>
      <c r="C31" s="46">
        <v>8</v>
      </c>
    </row>
    <row r="32" spans="1:3">
      <c r="A32" s="46">
        <v>100</v>
      </c>
      <c r="B32" s="46">
        <v>23</v>
      </c>
      <c r="C32" s="46">
        <v>8</v>
      </c>
    </row>
    <row r="33" spans="1:3">
      <c r="A33" s="46">
        <v>80</v>
      </c>
      <c r="B33" s="46">
        <v>23</v>
      </c>
      <c r="C33" s="46">
        <v>8</v>
      </c>
    </row>
    <row r="34" spans="1:3">
      <c r="A34" s="46">
        <v>60</v>
      </c>
      <c r="B34" s="46">
        <v>22</v>
      </c>
      <c r="C34" s="46">
        <v>9</v>
      </c>
    </row>
    <row r="35" spans="1:3">
      <c r="A35" s="46">
        <v>40</v>
      </c>
      <c r="B35" s="46">
        <v>21</v>
      </c>
      <c r="C35" s="46">
        <v>9</v>
      </c>
    </row>
    <row r="36" spans="1:3">
      <c r="A36" s="46">
        <v>20</v>
      </c>
      <c r="B36" s="46">
        <v>21</v>
      </c>
      <c r="C36" s="46">
        <v>9</v>
      </c>
    </row>
    <row r="37" spans="1:3">
      <c r="A37" s="46">
        <v>0</v>
      </c>
      <c r="B37" s="46">
        <v>20</v>
      </c>
      <c r="C37" s="46">
        <v>10</v>
      </c>
    </row>
    <row r="38" spans="1:3">
      <c r="A38" s="46">
        <v>-20</v>
      </c>
      <c r="B38" s="46">
        <v>19</v>
      </c>
      <c r="C38" s="46">
        <v>10</v>
      </c>
    </row>
    <row r="39" spans="1:3">
      <c r="A39" s="46">
        <v>-40</v>
      </c>
      <c r="B39" s="46">
        <v>19</v>
      </c>
      <c r="C39" s="46">
        <v>10</v>
      </c>
    </row>
    <row r="40" spans="1:3">
      <c r="A40" s="46">
        <v>-60</v>
      </c>
      <c r="B40" s="46">
        <v>18</v>
      </c>
      <c r="C40" s="46">
        <v>11</v>
      </c>
    </row>
    <row r="41" spans="1:3">
      <c r="A41" s="46">
        <v>-80</v>
      </c>
      <c r="B41" s="46">
        <v>18</v>
      </c>
      <c r="C41" s="46">
        <v>11</v>
      </c>
    </row>
    <row r="42" spans="1:3">
      <c r="A42" s="46">
        <v>-100</v>
      </c>
      <c r="B42" s="46">
        <v>17</v>
      </c>
      <c r="C42" s="46">
        <v>12</v>
      </c>
    </row>
    <row r="43" spans="1:3">
      <c r="A43" s="46">
        <v>-120</v>
      </c>
      <c r="B43" s="46">
        <v>16</v>
      </c>
      <c r="C43" s="46">
        <v>12</v>
      </c>
    </row>
    <row r="44" spans="1:3">
      <c r="A44" s="46">
        <v>-140</v>
      </c>
      <c r="B44" s="46">
        <v>16</v>
      </c>
      <c r="C44" s="46">
        <v>12</v>
      </c>
    </row>
    <row r="45" spans="1:3">
      <c r="A45" s="46">
        <v>-160</v>
      </c>
      <c r="B45" s="46">
        <v>15</v>
      </c>
      <c r="C45" s="46">
        <v>13</v>
      </c>
    </row>
    <row r="46" spans="1:3">
      <c r="A46" s="46">
        <v>-180</v>
      </c>
      <c r="B46" s="46">
        <v>15</v>
      </c>
      <c r="C46" s="46">
        <v>13</v>
      </c>
    </row>
    <row r="47" spans="1:3">
      <c r="A47" s="46">
        <v>-200</v>
      </c>
      <c r="B47" s="46">
        <v>14</v>
      </c>
      <c r="C47" s="46">
        <v>13</v>
      </c>
    </row>
    <row r="48" spans="1:3">
      <c r="A48" s="46">
        <v>-220</v>
      </c>
      <c r="B48" s="46">
        <v>13</v>
      </c>
      <c r="C48" s="46">
        <v>14</v>
      </c>
    </row>
    <row r="49" spans="1:3">
      <c r="A49" s="46">
        <v>-240</v>
      </c>
      <c r="B49" s="46">
        <v>13</v>
      </c>
      <c r="C49" s="46">
        <v>14</v>
      </c>
    </row>
    <row r="50" spans="1:3">
      <c r="A50" s="46">
        <v>-260</v>
      </c>
      <c r="B50" s="46">
        <v>12</v>
      </c>
      <c r="C50" s="46">
        <v>15</v>
      </c>
    </row>
    <row r="51" spans="1:3">
      <c r="A51" s="46">
        <v>-280</v>
      </c>
      <c r="B51" s="46">
        <v>12</v>
      </c>
      <c r="C51" s="46">
        <v>15</v>
      </c>
    </row>
    <row r="52" spans="1:3">
      <c r="A52" s="46">
        <v>-300</v>
      </c>
      <c r="B52" s="46">
        <v>11</v>
      </c>
      <c r="C52" s="46">
        <v>16</v>
      </c>
    </row>
    <row r="53" spans="1:3">
      <c r="A53" s="46">
        <v>-320</v>
      </c>
      <c r="B53" s="46">
        <v>10</v>
      </c>
      <c r="C53" s="46">
        <v>16</v>
      </c>
    </row>
    <row r="54" spans="1:3">
      <c r="A54" s="46">
        <v>-340</v>
      </c>
      <c r="B54" s="46">
        <v>10</v>
      </c>
      <c r="C54" s="46">
        <v>16</v>
      </c>
    </row>
    <row r="55" spans="1:3">
      <c r="A55" s="46">
        <v>-360</v>
      </c>
      <c r="B55" s="46">
        <v>9</v>
      </c>
      <c r="C55" s="46">
        <v>17</v>
      </c>
    </row>
    <row r="56" spans="1:3">
      <c r="A56" s="46">
        <v>-380</v>
      </c>
      <c r="B56" s="46">
        <v>9</v>
      </c>
      <c r="C56" s="46">
        <v>17</v>
      </c>
    </row>
    <row r="57" spans="1:3">
      <c r="A57" s="46">
        <v>-400</v>
      </c>
      <c r="B57" s="46">
        <v>8</v>
      </c>
      <c r="C57" s="46">
        <v>18</v>
      </c>
    </row>
    <row r="58" spans="1:3">
      <c r="A58" s="46">
        <v>-420</v>
      </c>
      <c r="B58" s="46">
        <v>8</v>
      </c>
      <c r="C58" s="46">
        <v>18</v>
      </c>
    </row>
    <row r="59" spans="1:3">
      <c r="A59" s="46">
        <v>-440</v>
      </c>
      <c r="B59" s="46">
        <v>7</v>
      </c>
      <c r="C59" s="46">
        <v>19</v>
      </c>
    </row>
    <row r="60" spans="1:3">
      <c r="A60" s="46">
        <v>-460</v>
      </c>
      <c r="B60" s="46">
        <v>6</v>
      </c>
      <c r="C60" s="46">
        <v>19</v>
      </c>
    </row>
    <row r="61" spans="1:3">
      <c r="A61" s="46">
        <v>-480</v>
      </c>
      <c r="B61" s="46">
        <v>6</v>
      </c>
      <c r="C61" s="46">
        <v>20</v>
      </c>
    </row>
    <row r="62" spans="1:3">
      <c r="A62" s="46">
        <v>-500</v>
      </c>
      <c r="B62" s="46">
        <v>5</v>
      </c>
      <c r="C62" s="46">
        <v>20</v>
      </c>
    </row>
    <row r="63" spans="1:3">
      <c r="A63" s="46">
        <v>-520</v>
      </c>
      <c r="B63" s="46">
        <v>5</v>
      </c>
      <c r="C63" s="46">
        <v>21</v>
      </c>
    </row>
    <row r="64" spans="1:3">
      <c r="A64" s="46">
        <v>-540</v>
      </c>
      <c r="B64" s="46">
        <v>4</v>
      </c>
      <c r="C64" s="46">
        <v>21</v>
      </c>
    </row>
    <row r="65" spans="1:3">
      <c r="A65" s="46">
        <v>-560</v>
      </c>
      <c r="B65" s="46">
        <v>4</v>
      </c>
      <c r="C65" s="46">
        <v>22</v>
      </c>
    </row>
    <row r="66" spans="1:3">
      <c r="A66" s="46">
        <v>-580</v>
      </c>
      <c r="B66" s="46">
        <v>3</v>
      </c>
      <c r="C66" s="46">
        <v>23</v>
      </c>
    </row>
    <row r="67" spans="1:3">
      <c r="A67" s="46">
        <v>-600</v>
      </c>
      <c r="B67" s="46">
        <v>3</v>
      </c>
      <c r="C67" s="46">
        <v>23</v>
      </c>
    </row>
    <row r="68" spans="1:3">
      <c r="A68" s="46">
        <v>-620</v>
      </c>
      <c r="B68" s="46">
        <v>2</v>
      </c>
      <c r="C68" s="46">
        <v>24</v>
      </c>
    </row>
    <row r="69" spans="1:3">
      <c r="A69" s="46">
        <v>-640</v>
      </c>
      <c r="B69" s="46">
        <v>2</v>
      </c>
      <c r="C69" s="46">
        <v>25</v>
      </c>
    </row>
    <row r="70" spans="1:3">
      <c r="A70" s="46">
        <v>-660</v>
      </c>
      <c r="B70" s="46">
        <v>1</v>
      </c>
      <c r="C70" s="46">
        <v>25</v>
      </c>
    </row>
    <row r="71" spans="1:3">
      <c r="A71" s="46">
        <v>-680</v>
      </c>
      <c r="B71" s="46">
        <v>1</v>
      </c>
      <c r="C71" s="46">
        <v>26</v>
      </c>
    </row>
    <row r="72" spans="1:3">
      <c r="A72" s="46">
        <v>-700</v>
      </c>
      <c r="B72" s="46">
        <v>0</v>
      </c>
      <c r="C72" s="46">
        <v>27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3"/>
  <sheetViews>
    <sheetView workbookViewId="0">
      <selection activeCell="F1" sqref="F1"/>
    </sheetView>
  </sheetViews>
  <sheetFormatPr defaultRowHeight="16.5"/>
  <cols>
    <col min="4" max="4" width="12.75" bestFit="1" customWidth="1"/>
    <col min="5" max="5" width="14.125" bestFit="1" customWidth="1"/>
    <col min="6" max="6" width="17.875" bestFit="1" customWidth="1"/>
    <col min="7" max="7" width="33.75" bestFit="1" customWidth="1"/>
  </cols>
  <sheetData>
    <row r="1" spans="1:7">
      <c r="A1" s="34" t="s">
        <v>0</v>
      </c>
      <c r="B1" s="34" t="s">
        <v>119</v>
      </c>
      <c r="C1" s="34" t="s">
        <v>120</v>
      </c>
      <c r="D1" s="34" t="s">
        <v>121</v>
      </c>
      <c r="E1" s="34" t="s">
        <v>122</v>
      </c>
      <c r="F1" s="34" t="s">
        <v>1162</v>
      </c>
      <c r="G1" s="34" t="s">
        <v>123</v>
      </c>
    </row>
    <row r="2" spans="1:7">
      <c r="A2" s="46">
        <v>1</v>
      </c>
      <c r="B2" s="46">
        <v>0</v>
      </c>
      <c r="C2" s="46">
        <v>1</v>
      </c>
      <c r="D2" s="46">
        <v>0</v>
      </c>
      <c r="E2" s="46">
        <v>0</v>
      </c>
      <c r="F2" s="46" t="s">
        <v>124</v>
      </c>
      <c r="G2" s="46"/>
    </row>
    <row r="3" spans="1:7">
      <c r="A3" s="46">
        <v>2</v>
      </c>
      <c r="B3" s="46">
        <v>1</v>
      </c>
      <c r="C3" s="46">
        <v>1</v>
      </c>
      <c r="D3" s="46">
        <v>400</v>
      </c>
      <c r="E3" s="46">
        <v>350</v>
      </c>
      <c r="F3" s="46" t="s">
        <v>125</v>
      </c>
      <c r="G3" s="46" t="s">
        <v>126</v>
      </c>
    </row>
    <row r="4" spans="1:7">
      <c r="A4" s="46">
        <v>3</v>
      </c>
      <c r="B4" s="46">
        <v>1</v>
      </c>
      <c r="C4" s="46">
        <v>2</v>
      </c>
      <c r="D4" s="46">
        <v>600</v>
      </c>
      <c r="E4" s="46">
        <v>550</v>
      </c>
      <c r="F4" s="46" t="s">
        <v>125</v>
      </c>
      <c r="G4" s="46" t="s">
        <v>126</v>
      </c>
    </row>
    <row r="5" spans="1:7">
      <c r="A5" s="46">
        <v>4</v>
      </c>
      <c r="B5" s="46">
        <v>1</v>
      </c>
      <c r="C5" s="46">
        <v>3</v>
      </c>
      <c r="D5" s="46">
        <v>800</v>
      </c>
      <c r="E5" s="46">
        <v>750</v>
      </c>
      <c r="F5" s="46" t="s">
        <v>125</v>
      </c>
      <c r="G5" s="46" t="s">
        <v>126</v>
      </c>
    </row>
    <row r="6" spans="1:7">
      <c r="A6" s="46">
        <v>5</v>
      </c>
      <c r="B6" s="46">
        <v>2</v>
      </c>
      <c r="C6" s="46">
        <v>1</v>
      </c>
      <c r="D6" s="46">
        <v>1000</v>
      </c>
      <c r="E6" s="46">
        <v>950</v>
      </c>
      <c r="F6" s="46" t="s">
        <v>127</v>
      </c>
      <c r="G6" s="46" t="s">
        <v>128</v>
      </c>
    </row>
    <row r="7" spans="1:7">
      <c r="A7" s="46">
        <v>6</v>
      </c>
      <c r="B7" s="46">
        <v>2</v>
      </c>
      <c r="C7" s="46">
        <v>2</v>
      </c>
      <c r="D7" s="46">
        <v>1200</v>
      </c>
      <c r="E7" s="46">
        <v>1150</v>
      </c>
      <c r="F7" s="46" t="s">
        <v>127</v>
      </c>
      <c r="G7" s="46" t="s">
        <v>128</v>
      </c>
    </row>
    <row r="8" spans="1:7">
      <c r="A8" s="46">
        <v>7</v>
      </c>
      <c r="B8" s="46">
        <v>2</v>
      </c>
      <c r="C8" s="46">
        <v>3</v>
      </c>
      <c r="D8" s="46">
        <v>1400</v>
      </c>
      <c r="E8" s="46">
        <v>1350</v>
      </c>
      <c r="F8" s="46" t="s">
        <v>127</v>
      </c>
      <c r="G8" s="46" t="s">
        <v>128</v>
      </c>
    </row>
    <row r="9" spans="1:7">
      <c r="A9" s="46">
        <v>8</v>
      </c>
      <c r="B9" s="46">
        <v>3</v>
      </c>
      <c r="C9" s="46">
        <v>1</v>
      </c>
      <c r="D9" s="46">
        <v>1600</v>
      </c>
      <c r="E9" s="46">
        <v>1550</v>
      </c>
      <c r="F9" s="46" t="s">
        <v>129</v>
      </c>
      <c r="G9" s="46" t="s">
        <v>130</v>
      </c>
    </row>
    <row r="10" spans="1:7">
      <c r="A10" s="46">
        <v>9</v>
      </c>
      <c r="B10" s="46">
        <v>3</v>
      </c>
      <c r="C10" s="46">
        <v>2</v>
      </c>
      <c r="D10" s="46">
        <v>1800</v>
      </c>
      <c r="E10" s="46">
        <v>1750</v>
      </c>
      <c r="F10" s="46" t="s">
        <v>129</v>
      </c>
      <c r="G10" s="46" t="s">
        <v>130</v>
      </c>
    </row>
    <row r="11" spans="1:7">
      <c r="A11" s="46">
        <v>10</v>
      </c>
      <c r="B11" s="46">
        <v>3</v>
      </c>
      <c r="C11" s="46">
        <v>3</v>
      </c>
      <c r="D11" s="46">
        <v>2000</v>
      </c>
      <c r="E11" s="46">
        <v>1950</v>
      </c>
      <c r="F11" s="46" t="s">
        <v>129</v>
      </c>
      <c r="G11" s="46" t="s">
        <v>130</v>
      </c>
    </row>
    <row r="12" spans="1:7">
      <c r="A12" s="46">
        <v>11</v>
      </c>
      <c r="B12" s="46">
        <v>4</v>
      </c>
      <c r="C12" s="46">
        <v>1</v>
      </c>
      <c r="D12" s="46">
        <v>2200</v>
      </c>
      <c r="E12" s="46">
        <v>2150</v>
      </c>
      <c r="F12" s="46" t="s">
        <v>131</v>
      </c>
      <c r="G12" s="46" t="s">
        <v>132</v>
      </c>
    </row>
    <row r="13" spans="1:7">
      <c r="A13" s="46">
        <v>12</v>
      </c>
      <c r="B13" s="46">
        <v>4</v>
      </c>
      <c r="C13" s="46">
        <v>2</v>
      </c>
      <c r="D13" s="46">
        <v>2400</v>
      </c>
      <c r="E13" s="46">
        <v>2350</v>
      </c>
      <c r="F13" s="46" t="s">
        <v>131</v>
      </c>
      <c r="G13" s="46" t="s">
        <v>132</v>
      </c>
    </row>
    <row r="14" spans="1:7">
      <c r="A14" s="46">
        <v>13</v>
      </c>
      <c r="B14" s="46">
        <v>4</v>
      </c>
      <c r="C14" s="46">
        <v>3</v>
      </c>
      <c r="D14" s="46">
        <v>2600</v>
      </c>
      <c r="E14" s="46">
        <v>2550</v>
      </c>
      <c r="F14" s="46" t="s">
        <v>131</v>
      </c>
      <c r="G14" s="46" t="s">
        <v>132</v>
      </c>
    </row>
    <row r="15" spans="1:7">
      <c r="A15" s="46">
        <v>14</v>
      </c>
      <c r="B15" s="46">
        <v>5</v>
      </c>
      <c r="C15" s="46">
        <v>1</v>
      </c>
      <c r="D15" s="46">
        <v>2800</v>
      </c>
      <c r="E15" s="46">
        <v>2750</v>
      </c>
      <c r="F15" s="46" t="s">
        <v>133</v>
      </c>
      <c r="G15" s="46" t="s">
        <v>134</v>
      </c>
    </row>
    <row r="16" spans="1:7">
      <c r="A16" s="46">
        <v>15</v>
      </c>
      <c r="B16" s="46">
        <v>5</v>
      </c>
      <c r="C16" s="46">
        <v>2</v>
      </c>
      <c r="D16" s="46">
        <v>3000</v>
      </c>
      <c r="E16" s="46">
        <v>2950</v>
      </c>
      <c r="F16" s="46" t="s">
        <v>133</v>
      </c>
      <c r="G16" s="46" t="s">
        <v>134</v>
      </c>
    </row>
    <row r="17" spans="1:7">
      <c r="A17" s="46">
        <v>16</v>
      </c>
      <c r="B17" s="46">
        <v>5</v>
      </c>
      <c r="C17" s="46">
        <v>3</v>
      </c>
      <c r="D17" s="46">
        <v>3200</v>
      </c>
      <c r="E17" s="46">
        <v>3150</v>
      </c>
      <c r="F17" s="46" t="s">
        <v>133</v>
      </c>
      <c r="G17" s="46" t="s">
        <v>134</v>
      </c>
    </row>
    <row r="18" spans="1:7">
      <c r="A18" s="46">
        <v>17</v>
      </c>
      <c r="B18" s="46">
        <v>6</v>
      </c>
      <c r="C18" s="46">
        <v>1</v>
      </c>
      <c r="D18" s="46">
        <v>3400</v>
      </c>
      <c r="E18" s="46">
        <v>3350</v>
      </c>
      <c r="F18" s="46" t="s">
        <v>135</v>
      </c>
      <c r="G18" s="46" t="s">
        <v>136</v>
      </c>
    </row>
    <row r="19" spans="1:7">
      <c r="A19" s="46">
        <v>18</v>
      </c>
      <c r="B19" s="46">
        <v>6</v>
      </c>
      <c r="C19" s="46">
        <v>2</v>
      </c>
      <c r="D19" s="46">
        <v>3600</v>
      </c>
      <c r="E19" s="46">
        <v>3550</v>
      </c>
      <c r="F19" s="46" t="s">
        <v>135</v>
      </c>
      <c r="G19" s="46" t="s">
        <v>136</v>
      </c>
    </row>
    <row r="20" spans="1:7">
      <c r="A20" s="46">
        <v>19</v>
      </c>
      <c r="B20" s="46">
        <v>6</v>
      </c>
      <c r="C20" s="46">
        <v>3</v>
      </c>
      <c r="D20" s="46">
        <v>3800</v>
      </c>
      <c r="E20" s="46">
        <v>3750</v>
      </c>
      <c r="F20" s="46" t="s">
        <v>135</v>
      </c>
      <c r="G20" s="46" t="s">
        <v>136</v>
      </c>
    </row>
    <row r="21" spans="1:7">
      <c r="A21" s="46">
        <v>20</v>
      </c>
      <c r="B21" s="46">
        <v>7</v>
      </c>
      <c r="C21" s="46">
        <v>1</v>
      </c>
      <c r="D21" s="46">
        <v>4100</v>
      </c>
      <c r="E21" s="46">
        <v>4050</v>
      </c>
      <c r="F21" s="46" t="s">
        <v>137</v>
      </c>
      <c r="G21" s="46" t="s">
        <v>138</v>
      </c>
    </row>
    <row r="22" spans="1:7">
      <c r="A22" s="46">
        <v>21</v>
      </c>
      <c r="B22" s="46">
        <v>7</v>
      </c>
      <c r="C22" s="46">
        <v>2</v>
      </c>
      <c r="D22" s="46">
        <v>4400</v>
      </c>
      <c r="E22" s="46">
        <v>4350</v>
      </c>
      <c r="F22" s="46" t="s">
        <v>137</v>
      </c>
      <c r="G22" s="46" t="s">
        <v>138</v>
      </c>
    </row>
    <row r="23" spans="1:7">
      <c r="A23" s="46">
        <v>22</v>
      </c>
      <c r="B23" s="46">
        <v>7</v>
      </c>
      <c r="C23" s="46">
        <v>3</v>
      </c>
      <c r="D23" s="46">
        <v>4700</v>
      </c>
      <c r="E23" s="46">
        <v>4650</v>
      </c>
      <c r="F23" s="46" t="s">
        <v>137</v>
      </c>
      <c r="G23" s="46" t="s">
        <v>138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1"/>
  <sheetViews>
    <sheetView workbookViewId="0">
      <selection activeCell="G11" sqref="G11"/>
    </sheetView>
  </sheetViews>
  <sheetFormatPr defaultRowHeight="16.5"/>
  <sheetData>
    <row r="1" spans="1:3">
      <c r="A1" s="34" t="s">
        <v>139</v>
      </c>
      <c r="B1" s="34" t="s">
        <v>140</v>
      </c>
      <c r="C1" s="34" t="s">
        <v>141</v>
      </c>
    </row>
    <row r="2" spans="1:3">
      <c r="A2" s="36">
        <v>1</v>
      </c>
      <c r="B2" s="36" t="s">
        <v>117</v>
      </c>
      <c r="C2" s="36">
        <v>2</v>
      </c>
    </row>
    <row r="3" spans="1:3">
      <c r="A3" s="36">
        <v>2</v>
      </c>
      <c r="B3" s="36" t="s">
        <v>117</v>
      </c>
      <c r="C3" s="36">
        <v>3</v>
      </c>
    </row>
    <row r="4" spans="1:3">
      <c r="A4" s="36">
        <v>3</v>
      </c>
      <c r="B4" s="36" t="s">
        <v>117</v>
      </c>
      <c r="C4" s="36">
        <v>5</v>
      </c>
    </row>
    <row r="5" spans="1:3">
      <c r="A5" s="36">
        <v>4</v>
      </c>
      <c r="B5" s="36" t="s">
        <v>117</v>
      </c>
      <c r="C5" s="36">
        <v>7</v>
      </c>
    </row>
    <row r="6" spans="1:3">
      <c r="A6" s="36">
        <v>5</v>
      </c>
      <c r="B6" s="36" t="s">
        <v>117</v>
      </c>
      <c r="C6" s="36">
        <v>9</v>
      </c>
    </row>
    <row r="7" spans="1:3">
      <c r="A7" s="36">
        <v>1</v>
      </c>
      <c r="B7" s="36" t="s">
        <v>118</v>
      </c>
      <c r="C7" s="36">
        <v>1</v>
      </c>
    </row>
    <row r="8" spans="1:3">
      <c r="A8" s="36">
        <v>2</v>
      </c>
      <c r="B8" s="36" t="s">
        <v>118</v>
      </c>
      <c r="C8" s="36">
        <v>2</v>
      </c>
    </row>
    <row r="9" spans="1:3">
      <c r="A9" s="36">
        <v>3</v>
      </c>
      <c r="B9" s="36" t="s">
        <v>118</v>
      </c>
      <c r="C9" s="36">
        <v>4</v>
      </c>
    </row>
    <row r="10" spans="1:3">
      <c r="A10" s="36">
        <v>4</v>
      </c>
      <c r="B10" s="36" t="s">
        <v>118</v>
      </c>
      <c r="C10" s="36">
        <v>5</v>
      </c>
    </row>
    <row r="11" spans="1:3">
      <c r="A11" s="36">
        <v>5</v>
      </c>
      <c r="B11" s="36" t="s">
        <v>118</v>
      </c>
      <c r="C11" s="36">
        <v>7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7"/>
  <sheetViews>
    <sheetView workbookViewId="0">
      <selection activeCell="C10" sqref="C10"/>
    </sheetView>
  </sheetViews>
  <sheetFormatPr defaultRowHeight="16.5"/>
  <sheetData>
    <row r="1" spans="1:2">
      <c r="A1" s="34" t="s">
        <v>142</v>
      </c>
      <c r="B1" s="34" t="s">
        <v>141</v>
      </c>
    </row>
    <row r="2" spans="1:2">
      <c r="A2" s="46">
        <v>50</v>
      </c>
      <c r="B2" s="46">
        <v>4</v>
      </c>
    </row>
    <row r="3" spans="1:2">
      <c r="A3" s="46">
        <v>52</v>
      </c>
      <c r="B3" s="46">
        <v>5</v>
      </c>
    </row>
    <row r="4" spans="1:2">
      <c r="A4" s="46">
        <v>54</v>
      </c>
      <c r="B4" s="46">
        <v>8</v>
      </c>
    </row>
    <row r="5" spans="1:2">
      <c r="A5" s="46">
        <v>56</v>
      </c>
      <c r="B5" s="46">
        <v>9</v>
      </c>
    </row>
    <row r="6" spans="1:2">
      <c r="A6" s="46">
        <v>58</v>
      </c>
      <c r="B6" s="46">
        <v>12</v>
      </c>
    </row>
    <row r="7" spans="1:2">
      <c r="A7" s="46">
        <v>60</v>
      </c>
      <c r="B7" s="46">
        <v>14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6"/>
  <sheetViews>
    <sheetView workbookViewId="0">
      <selection activeCell="F20" sqref="F20"/>
    </sheetView>
  </sheetViews>
  <sheetFormatPr defaultRowHeight="16.5"/>
  <cols>
    <col min="2" max="2" width="21" bestFit="1" customWidth="1"/>
    <col min="3" max="3" width="20.75" bestFit="1" customWidth="1"/>
    <col min="4" max="5" width="21.625" bestFit="1" customWidth="1"/>
    <col min="6" max="6" width="21.5" bestFit="1" customWidth="1"/>
    <col min="7" max="7" width="22.375" bestFit="1" customWidth="1"/>
  </cols>
  <sheetData>
    <row r="1" spans="1:7">
      <c r="A1" s="38" t="s">
        <v>150</v>
      </c>
      <c r="B1" s="38" t="s">
        <v>144</v>
      </c>
      <c r="C1" s="38" t="s">
        <v>145</v>
      </c>
      <c r="D1" s="38" t="s">
        <v>146</v>
      </c>
      <c r="E1" s="38" t="s">
        <v>147</v>
      </c>
      <c r="F1" s="38" t="s">
        <v>148</v>
      </c>
      <c r="G1" s="38" t="s">
        <v>149</v>
      </c>
    </row>
    <row r="2" spans="1:7">
      <c r="A2" s="46">
        <v>1</v>
      </c>
      <c r="B2" s="46">
        <v>20</v>
      </c>
      <c r="C2" s="46">
        <v>20</v>
      </c>
      <c r="D2" s="46">
        <v>0</v>
      </c>
      <c r="E2" s="46">
        <v>150000</v>
      </c>
      <c r="F2" s="46">
        <v>150000</v>
      </c>
      <c r="G2" s="46">
        <v>0</v>
      </c>
    </row>
    <row r="3" spans="1:7">
      <c r="A3" s="46">
        <v>2</v>
      </c>
      <c r="B3" s="46">
        <v>20</v>
      </c>
      <c r="C3" s="46">
        <v>20</v>
      </c>
      <c r="D3" s="46">
        <v>0</v>
      </c>
      <c r="E3" s="46">
        <v>150000</v>
      </c>
      <c r="F3" s="46">
        <v>150000</v>
      </c>
      <c r="G3" s="46">
        <v>0</v>
      </c>
    </row>
    <row r="4" spans="1:7">
      <c r="A4" s="46">
        <v>3</v>
      </c>
      <c r="B4" s="46">
        <v>20</v>
      </c>
      <c r="C4" s="46">
        <v>20</v>
      </c>
      <c r="D4" s="46">
        <v>0</v>
      </c>
      <c r="E4" s="46">
        <v>150000</v>
      </c>
      <c r="F4" s="46">
        <v>150000</v>
      </c>
      <c r="G4" s="46">
        <v>0</v>
      </c>
    </row>
    <row r="5" spans="1:7">
      <c r="A5" s="46">
        <v>4</v>
      </c>
      <c r="B5" s="46">
        <v>20</v>
      </c>
      <c r="C5" s="46">
        <v>20</v>
      </c>
      <c r="D5" s="46">
        <v>0</v>
      </c>
      <c r="E5" s="46">
        <v>150000</v>
      </c>
      <c r="F5" s="46">
        <v>150000</v>
      </c>
      <c r="G5" s="46">
        <v>0</v>
      </c>
    </row>
    <row r="6" spans="1:7">
      <c r="A6" s="46">
        <v>5</v>
      </c>
      <c r="B6" s="46">
        <v>20</v>
      </c>
      <c r="C6" s="46">
        <v>20</v>
      </c>
      <c r="D6" s="46">
        <v>0</v>
      </c>
      <c r="E6" s="46">
        <v>150000</v>
      </c>
      <c r="F6" s="46">
        <v>150000</v>
      </c>
      <c r="G6" s="46">
        <v>0</v>
      </c>
    </row>
    <row r="7" spans="1:7">
      <c r="A7" s="46">
        <v>6</v>
      </c>
      <c r="B7" s="46">
        <v>20</v>
      </c>
      <c r="C7" s="46">
        <v>20</v>
      </c>
      <c r="D7" s="46">
        <v>0</v>
      </c>
      <c r="E7" s="46">
        <v>150000</v>
      </c>
      <c r="F7" s="46">
        <v>150000</v>
      </c>
      <c r="G7" s="46">
        <v>0</v>
      </c>
    </row>
    <row r="8" spans="1:7">
      <c r="A8" s="46">
        <v>7</v>
      </c>
      <c r="B8" s="46">
        <v>18</v>
      </c>
      <c r="C8" s="46">
        <v>18</v>
      </c>
      <c r="D8" s="46">
        <v>8</v>
      </c>
      <c r="E8" s="46">
        <v>180000</v>
      </c>
      <c r="F8" s="46">
        <v>180000</v>
      </c>
      <c r="G8" s="46">
        <v>1200</v>
      </c>
    </row>
    <row r="9" spans="1:7">
      <c r="A9" s="46">
        <v>8</v>
      </c>
      <c r="B9" s="46">
        <v>16</v>
      </c>
      <c r="C9" s="46">
        <v>16</v>
      </c>
      <c r="D9" s="46">
        <v>8</v>
      </c>
      <c r="E9" s="46">
        <v>210000</v>
      </c>
      <c r="F9" s="46">
        <v>210000</v>
      </c>
      <c r="G9" s="46">
        <v>2000</v>
      </c>
    </row>
    <row r="10" spans="1:7">
      <c r="A10" s="46">
        <v>9</v>
      </c>
      <c r="B10" s="46">
        <v>14</v>
      </c>
      <c r="C10" s="46">
        <v>14</v>
      </c>
      <c r="D10" s="46">
        <v>7</v>
      </c>
      <c r="E10" s="46">
        <v>240000</v>
      </c>
      <c r="F10" s="46">
        <v>240000</v>
      </c>
      <c r="G10" s="46">
        <v>2500</v>
      </c>
    </row>
    <row r="11" spans="1:7">
      <c r="A11" s="46">
        <v>10</v>
      </c>
      <c r="B11" s="46">
        <v>12</v>
      </c>
      <c r="C11" s="46">
        <v>12</v>
      </c>
      <c r="D11" s="46">
        <v>7</v>
      </c>
      <c r="E11" s="46">
        <v>270000</v>
      </c>
      <c r="F11" s="46">
        <v>270000</v>
      </c>
      <c r="G11" s="46">
        <v>3000</v>
      </c>
    </row>
    <row r="12" spans="1:7">
      <c r="A12" s="46">
        <v>11</v>
      </c>
      <c r="B12" s="46">
        <v>10</v>
      </c>
      <c r="C12" s="46">
        <v>10</v>
      </c>
      <c r="D12" s="46">
        <v>6</v>
      </c>
      <c r="E12" s="46">
        <v>300000</v>
      </c>
      <c r="F12" s="46">
        <v>300000</v>
      </c>
      <c r="G12" s="46">
        <v>3500</v>
      </c>
    </row>
    <row r="13" spans="1:7">
      <c r="A13" s="46">
        <v>12</v>
      </c>
      <c r="B13" s="46">
        <v>10</v>
      </c>
      <c r="C13" s="46">
        <v>10</v>
      </c>
      <c r="D13" s="46">
        <v>6</v>
      </c>
      <c r="E13" s="46">
        <v>350000</v>
      </c>
      <c r="F13" s="46">
        <v>350000</v>
      </c>
      <c r="G13" s="46">
        <v>4000</v>
      </c>
    </row>
    <row r="14" spans="1:7">
      <c r="A14" s="46">
        <v>13</v>
      </c>
      <c r="B14" s="46">
        <v>10</v>
      </c>
      <c r="C14" s="46">
        <v>10</v>
      </c>
      <c r="D14" s="46">
        <v>5</v>
      </c>
      <c r="E14" s="46">
        <v>400000</v>
      </c>
      <c r="F14" s="46">
        <v>400000</v>
      </c>
      <c r="G14" s="46">
        <v>4500</v>
      </c>
    </row>
    <row r="15" spans="1:7">
      <c r="A15" s="46">
        <v>14</v>
      </c>
      <c r="B15" s="46">
        <v>10</v>
      </c>
      <c r="C15" s="46">
        <v>10</v>
      </c>
      <c r="D15" s="46">
        <v>5</v>
      </c>
      <c r="E15" s="46">
        <v>400000</v>
      </c>
      <c r="F15" s="46">
        <v>400000</v>
      </c>
      <c r="G15" s="46">
        <v>5000</v>
      </c>
    </row>
    <row r="16" spans="1:7">
      <c r="A16" s="46">
        <v>15</v>
      </c>
      <c r="B16" s="46">
        <v>8</v>
      </c>
      <c r="C16" s="46">
        <v>8</v>
      </c>
      <c r="D16" s="46">
        <v>4</v>
      </c>
      <c r="E16" s="46">
        <v>450000</v>
      </c>
      <c r="F16" s="46">
        <v>450000</v>
      </c>
      <c r="G16" s="46">
        <v>6000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6"/>
  <sheetViews>
    <sheetView workbookViewId="0">
      <selection activeCell="F20" sqref="F20"/>
    </sheetView>
  </sheetViews>
  <sheetFormatPr defaultRowHeight="16.5"/>
  <cols>
    <col min="1" max="1" width="18" bestFit="1" customWidth="1"/>
    <col min="2" max="2" width="12.625" bestFit="1" customWidth="1"/>
  </cols>
  <sheetData>
    <row r="1" spans="1:2">
      <c r="A1" s="38" t="s">
        <v>151</v>
      </c>
      <c r="B1" s="38" t="s">
        <v>152</v>
      </c>
    </row>
    <row r="2" spans="1:2">
      <c r="A2" s="46">
        <v>0</v>
      </c>
      <c r="B2" s="46">
        <v>0</v>
      </c>
    </row>
    <row r="3" spans="1:2">
      <c r="A3" s="46">
        <v>1</v>
      </c>
      <c r="B3" s="46">
        <v>20</v>
      </c>
    </row>
    <row r="4" spans="1:2">
      <c r="A4" s="46">
        <v>2</v>
      </c>
      <c r="B4" s="46">
        <v>50</v>
      </c>
    </row>
    <row r="5" spans="1:2">
      <c r="A5" s="46">
        <v>3</v>
      </c>
      <c r="B5" s="46">
        <v>70</v>
      </c>
    </row>
    <row r="6" spans="1:2">
      <c r="A6" s="46">
        <v>4</v>
      </c>
      <c r="B6" s="46">
        <v>95</v>
      </c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51"/>
  <sheetViews>
    <sheetView workbookViewId="0">
      <selection activeCell="I18" sqref="I18"/>
    </sheetView>
  </sheetViews>
  <sheetFormatPr defaultRowHeight="16.5"/>
  <cols>
    <col min="2" max="2" width="9.5" bestFit="1" customWidth="1"/>
    <col min="3" max="3" width="15.5" bestFit="1" customWidth="1"/>
  </cols>
  <sheetData>
    <row r="1" spans="1:3">
      <c r="A1" s="34" t="s">
        <v>153</v>
      </c>
      <c r="B1" s="34" t="s">
        <v>154</v>
      </c>
      <c r="C1" s="34" t="s">
        <v>155</v>
      </c>
    </row>
    <row r="2" spans="1:3">
      <c r="A2" s="46">
        <v>1</v>
      </c>
      <c r="B2" s="46">
        <v>30</v>
      </c>
      <c r="C2" s="46">
        <f>B2</f>
        <v>30</v>
      </c>
    </row>
    <row r="3" spans="1:3">
      <c r="A3" s="46">
        <v>2</v>
      </c>
      <c r="B3" s="46">
        <v>50</v>
      </c>
      <c r="C3" s="46">
        <f>C2+B3</f>
        <v>80</v>
      </c>
    </row>
    <row r="4" spans="1:3">
      <c r="A4" s="46">
        <v>3</v>
      </c>
      <c r="B4" s="46">
        <v>70</v>
      </c>
      <c r="C4" s="46">
        <f>C3+B4</f>
        <v>150</v>
      </c>
    </row>
    <row r="5" spans="1:3">
      <c r="A5" s="46">
        <v>4</v>
      </c>
      <c r="B5" s="46">
        <v>90</v>
      </c>
      <c r="C5" s="46">
        <f t="shared" ref="C5:C51" si="0">C4+B5</f>
        <v>240</v>
      </c>
    </row>
    <row r="6" spans="1:3">
      <c r="A6" s="46">
        <v>5</v>
      </c>
      <c r="B6" s="46">
        <v>110</v>
      </c>
      <c r="C6" s="46">
        <f t="shared" si="0"/>
        <v>350</v>
      </c>
    </row>
    <row r="7" spans="1:3">
      <c r="A7" s="46">
        <v>6</v>
      </c>
      <c r="B7" s="46">
        <v>130</v>
      </c>
      <c r="C7" s="46">
        <f t="shared" si="0"/>
        <v>480</v>
      </c>
    </row>
    <row r="8" spans="1:3">
      <c r="A8" s="46">
        <v>7</v>
      </c>
      <c r="B8" s="46">
        <v>150</v>
      </c>
      <c r="C8" s="46">
        <f t="shared" si="0"/>
        <v>630</v>
      </c>
    </row>
    <row r="9" spans="1:3">
      <c r="A9" s="46">
        <v>8</v>
      </c>
      <c r="B9" s="46">
        <v>170</v>
      </c>
      <c r="C9" s="46">
        <f t="shared" si="0"/>
        <v>800</v>
      </c>
    </row>
    <row r="10" spans="1:3">
      <c r="A10" s="46">
        <v>9</v>
      </c>
      <c r="B10" s="46">
        <v>190</v>
      </c>
      <c r="C10" s="46">
        <f t="shared" si="0"/>
        <v>990</v>
      </c>
    </row>
    <row r="11" spans="1:3">
      <c r="A11" s="46">
        <v>10</v>
      </c>
      <c r="B11" s="46">
        <v>210</v>
      </c>
      <c r="C11" s="46">
        <f t="shared" si="0"/>
        <v>1200</v>
      </c>
    </row>
    <row r="12" spans="1:3">
      <c r="A12" s="46">
        <v>11</v>
      </c>
      <c r="B12" s="46">
        <v>230</v>
      </c>
      <c r="C12" s="46">
        <f t="shared" si="0"/>
        <v>1430</v>
      </c>
    </row>
    <row r="13" spans="1:3">
      <c r="A13" s="46">
        <v>12</v>
      </c>
      <c r="B13" s="46">
        <v>250</v>
      </c>
      <c r="C13" s="46">
        <f t="shared" si="0"/>
        <v>1680</v>
      </c>
    </row>
    <row r="14" spans="1:3">
      <c r="A14" s="46">
        <v>13</v>
      </c>
      <c r="B14" s="46">
        <v>270</v>
      </c>
      <c r="C14" s="46">
        <f t="shared" si="0"/>
        <v>1950</v>
      </c>
    </row>
    <row r="15" spans="1:3">
      <c r="A15" s="46">
        <v>14</v>
      </c>
      <c r="B15" s="46">
        <v>290</v>
      </c>
      <c r="C15" s="46">
        <f t="shared" si="0"/>
        <v>2240</v>
      </c>
    </row>
    <row r="16" spans="1:3">
      <c r="A16" s="46">
        <v>15</v>
      </c>
      <c r="B16" s="46">
        <v>310</v>
      </c>
      <c r="C16" s="46">
        <f t="shared" si="0"/>
        <v>2550</v>
      </c>
    </row>
    <row r="17" spans="1:3">
      <c r="A17" s="46">
        <v>16</v>
      </c>
      <c r="B17" s="46">
        <v>330</v>
      </c>
      <c r="C17" s="46">
        <f t="shared" si="0"/>
        <v>2880</v>
      </c>
    </row>
    <row r="18" spans="1:3">
      <c r="A18" s="46">
        <v>17</v>
      </c>
      <c r="B18" s="46">
        <v>350</v>
      </c>
      <c r="C18" s="46">
        <f t="shared" si="0"/>
        <v>3230</v>
      </c>
    </row>
    <row r="19" spans="1:3">
      <c r="A19" s="46">
        <v>18</v>
      </c>
      <c r="B19" s="46">
        <v>370</v>
      </c>
      <c r="C19" s="46">
        <f t="shared" si="0"/>
        <v>3600</v>
      </c>
    </row>
    <row r="20" spans="1:3">
      <c r="A20" s="46">
        <v>19</v>
      </c>
      <c r="B20" s="46">
        <v>390</v>
      </c>
      <c r="C20" s="46">
        <f t="shared" si="0"/>
        <v>3990</v>
      </c>
    </row>
    <row r="21" spans="1:3">
      <c r="A21" s="46">
        <v>20</v>
      </c>
      <c r="B21" s="46">
        <v>410</v>
      </c>
      <c r="C21" s="46">
        <f t="shared" si="0"/>
        <v>4400</v>
      </c>
    </row>
    <row r="22" spans="1:3">
      <c r="A22" s="46">
        <v>21</v>
      </c>
      <c r="B22" s="46">
        <v>430</v>
      </c>
      <c r="C22" s="46">
        <f t="shared" si="0"/>
        <v>4830</v>
      </c>
    </row>
    <row r="23" spans="1:3">
      <c r="A23" s="46">
        <v>22</v>
      </c>
      <c r="B23" s="46">
        <v>450</v>
      </c>
      <c r="C23" s="46">
        <f t="shared" si="0"/>
        <v>5280</v>
      </c>
    </row>
    <row r="24" spans="1:3">
      <c r="A24" s="46">
        <v>23</v>
      </c>
      <c r="B24" s="46">
        <v>470</v>
      </c>
      <c r="C24" s="46">
        <f t="shared" si="0"/>
        <v>5750</v>
      </c>
    </row>
    <row r="25" spans="1:3">
      <c r="A25" s="46">
        <v>24</v>
      </c>
      <c r="B25" s="46">
        <v>490</v>
      </c>
      <c r="C25" s="46">
        <f t="shared" si="0"/>
        <v>6240</v>
      </c>
    </row>
    <row r="26" spans="1:3">
      <c r="A26" s="46">
        <v>25</v>
      </c>
      <c r="B26" s="46">
        <v>510</v>
      </c>
      <c r="C26" s="46">
        <f t="shared" si="0"/>
        <v>6750</v>
      </c>
    </row>
    <row r="27" spans="1:3">
      <c r="A27" s="46">
        <v>26</v>
      </c>
      <c r="B27" s="46">
        <v>530</v>
      </c>
      <c r="C27" s="46">
        <f t="shared" si="0"/>
        <v>7280</v>
      </c>
    </row>
    <row r="28" spans="1:3">
      <c r="A28" s="46">
        <v>27</v>
      </c>
      <c r="B28" s="46">
        <v>550</v>
      </c>
      <c r="C28" s="46">
        <f t="shared" si="0"/>
        <v>7830</v>
      </c>
    </row>
    <row r="29" spans="1:3">
      <c r="A29" s="46">
        <v>28</v>
      </c>
      <c r="B29" s="46">
        <v>570</v>
      </c>
      <c r="C29" s="46">
        <f t="shared" si="0"/>
        <v>8400</v>
      </c>
    </row>
    <row r="30" spans="1:3">
      <c r="A30" s="46">
        <v>29</v>
      </c>
      <c r="B30" s="46">
        <v>590</v>
      </c>
      <c r="C30" s="46">
        <f t="shared" si="0"/>
        <v>8990</v>
      </c>
    </row>
    <row r="31" spans="1:3">
      <c r="A31" s="46">
        <v>30</v>
      </c>
      <c r="B31" s="46">
        <v>610</v>
      </c>
      <c r="C31" s="46">
        <f t="shared" si="0"/>
        <v>9600</v>
      </c>
    </row>
    <row r="32" spans="1:3">
      <c r="A32" s="46">
        <v>31</v>
      </c>
      <c r="B32" s="46">
        <v>630</v>
      </c>
      <c r="C32" s="46">
        <f t="shared" si="0"/>
        <v>10230</v>
      </c>
    </row>
    <row r="33" spans="1:3">
      <c r="A33" s="46">
        <v>32</v>
      </c>
      <c r="B33" s="46">
        <v>650</v>
      </c>
      <c r="C33" s="46">
        <f t="shared" si="0"/>
        <v>10880</v>
      </c>
    </row>
    <row r="34" spans="1:3">
      <c r="A34" s="46">
        <v>33</v>
      </c>
      <c r="B34" s="46">
        <v>670</v>
      </c>
      <c r="C34" s="46">
        <f t="shared" si="0"/>
        <v>11550</v>
      </c>
    </row>
    <row r="35" spans="1:3">
      <c r="A35" s="46">
        <v>34</v>
      </c>
      <c r="B35" s="46">
        <v>690</v>
      </c>
      <c r="C35" s="46">
        <f t="shared" si="0"/>
        <v>12240</v>
      </c>
    </row>
    <row r="36" spans="1:3">
      <c r="A36" s="46">
        <v>35</v>
      </c>
      <c r="B36" s="46">
        <v>710</v>
      </c>
      <c r="C36" s="46">
        <f t="shared" si="0"/>
        <v>12950</v>
      </c>
    </row>
    <row r="37" spans="1:3">
      <c r="A37" s="46">
        <v>36</v>
      </c>
      <c r="B37" s="46">
        <v>730</v>
      </c>
      <c r="C37" s="46">
        <f t="shared" si="0"/>
        <v>13680</v>
      </c>
    </row>
    <row r="38" spans="1:3">
      <c r="A38" s="46">
        <v>37</v>
      </c>
      <c r="B38" s="46">
        <v>750</v>
      </c>
      <c r="C38" s="46">
        <f t="shared" si="0"/>
        <v>14430</v>
      </c>
    </row>
    <row r="39" spans="1:3">
      <c r="A39" s="46">
        <v>38</v>
      </c>
      <c r="B39" s="46">
        <v>770</v>
      </c>
      <c r="C39" s="46">
        <f t="shared" si="0"/>
        <v>15200</v>
      </c>
    </row>
    <row r="40" spans="1:3">
      <c r="A40" s="46">
        <v>39</v>
      </c>
      <c r="B40" s="46">
        <v>790</v>
      </c>
      <c r="C40" s="46">
        <f t="shared" si="0"/>
        <v>15990</v>
      </c>
    </row>
    <row r="41" spans="1:3">
      <c r="A41" s="46">
        <v>40</v>
      </c>
      <c r="B41" s="46">
        <v>810</v>
      </c>
      <c r="C41" s="46">
        <f t="shared" si="0"/>
        <v>16800</v>
      </c>
    </row>
    <row r="42" spans="1:3">
      <c r="A42" s="46">
        <v>41</v>
      </c>
      <c r="B42" s="46">
        <v>830</v>
      </c>
      <c r="C42" s="46">
        <f t="shared" si="0"/>
        <v>17630</v>
      </c>
    </row>
    <row r="43" spans="1:3">
      <c r="A43" s="46">
        <v>42</v>
      </c>
      <c r="B43" s="46">
        <v>850</v>
      </c>
      <c r="C43" s="46">
        <f t="shared" si="0"/>
        <v>18480</v>
      </c>
    </row>
    <row r="44" spans="1:3">
      <c r="A44" s="46">
        <v>43</v>
      </c>
      <c r="B44" s="46">
        <v>870</v>
      </c>
      <c r="C44" s="46">
        <f t="shared" si="0"/>
        <v>19350</v>
      </c>
    </row>
    <row r="45" spans="1:3">
      <c r="A45" s="46">
        <v>44</v>
      </c>
      <c r="B45" s="46">
        <v>890</v>
      </c>
      <c r="C45" s="46">
        <f t="shared" si="0"/>
        <v>20240</v>
      </c>
    </row>
    <row r="46" spans="1:3">
      <c r="A46" s="46">
        <v>45</v>
      </c>
      <c r="B46" s="46">
        <v>910</v>
      </c>
      <c r="C46" s="46">
        <f t="shared" si="0"/>
        <v>21150</v>
      </c>
    </row>
    <row r="47" spans="1:3">
      <c r="A47" s="46">
        <v>46</v>
      </c>
      <c r="B47" s="46">
        <v>930</v>
      </c>
      <c r="C47" s="46">
        <f t="shared" si="0"/>
        <v>22080</v>
      </c>
    </row>
    <row r="48" spans="1:3">
      <c r="A48" s="46">
        <v>47</v>
      </c>
      <c r="B48" s="46">
        <v>950</v>
      </c>
      <c r="C48" s="46">
        <f t="shared" si="0"/>
        <v>23030</v>
      </c>
    </row>
    <row r="49" spans="1:3">
      <c r="A49" s="46">
        <v>48</v>
      </c>
      <c r="B49" s="46">
        <v>970</v>
      </c>
      <c r="C49" s="46">
        <f t="shared" si="0"/>
        <v>24000</v>
      </c>
    </row>
    <row r="50" spans="1:3">
      <c r="A50" s="46">
        <v>49</v>
      </c>
      <c r="B50" s="46">
        <v>990</v>
      </c>
      <c r="C50" s="46">
        <f t="shared" si="0"/>
        <v>24990</v>
      </c>
    </row>
    <row r="51" spans="1:3">
      <c r="A51" s="46">
        <v>50</v>
      </c>
      <c r="B51" s="46">
        <v>1010</v>
      </c>
      <c r="C51" s="46">
        <f t="shared" si="0"/>
        <v>26000</v>
      </c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31"/>
  <sheetViews>
    <sheetView workbookViewId="0">
      <selection activeCell="G14" sqref="G14"/>
    </sheetView>
  </sheetViews>
  <sheetFormatPr defaultRowHeight="16.5"/>
  <cols>
    <col min="2" max="2" width="9.5" bestFit="1" customWidth="1"/>
    <col min="3" max="3" width="20.125" bestFit="1" customWidth="1"/>
    <col min="4" max="4" width="14.625" bestFit="1" customWidth="1"/>
  </cols>
  <sheetData>
    <row r="1" spans="1:4">
      <c r="A1" s="38" t="s">
        <v>156</v>
      </c>
      <c r="B1" s="38" t="s">
        <v>157</v>
      </c>
      <c r="C1" s="38" t="s">
        <v>158</v>
      </c>
      <c r="D1" s="38" t="s">
        <v>262</v>
      </c>
    </row>
    <row r="2" spans="1:4">
      <c r="A2" s="46">
        <v>1</v>
      </c>
      <c r="B2" s="46">
        <v>200</v>
      </c>
      <c r="C2" s="46">
        <v>55</v>
      </c>
      <c r="D2" s="46" t="s">
        <v>160</v>
      </c>
    </row>
    <row r="3" spans="1:4">
      <c r="A3" s="46">
        <v>201</v>
      </c>
      <c r="B3" s="46">
        <v>500</v>
      </c>
      <c r="C3" s="46">
        <v>65</v>
      </c>
      <c r="D3" s="46" t="s">
        <v>160</v>
      </c>
    </row>
    <row r="4" spans="1:4">
      <c r="A4" s="46">
        <v>501</v>
      </c>
      <c r="B4" s="46">
        <v>1000</v>
      </c>
      <c r="C4" s="46">
        <v>75</v>
      </c>
      <c r="D4" s="46" t="s">
        <v>160</v>
      </c>
    </row>
    <row r="5" spans="1:4">
      <c r="A5" s="46">
        <v>1001</v>
      </c>
      <c r="B5" s="46">
        <v>2000</v>
      </c>
      <c r="C5" s="46">
        <v>85</v>
      </c>
      <c r="D5" s="46" t="s">
        <v>160</v>
      </c>
    </row>
    <row r="6" spans="1:4">
      <c r="A6" s="46">
        <v>2001</v>
      </c>
      <c r="B6" s="46">
        <v>3000</v>
      </c>
      <c r="C6" s="46">
        <v>95</v>
      </c>
      <c r="D6" s="46" t="s">
        <v>160</v>
      </c>
    </row>
    <row r="7" spans="1:4">
      <c r="A7" s="46">
        <v>3001</v>
      </c>
      <c r="B7" s="46">
        <v>4000</v>
      </c>
      <c r="C7" s="46">
        <v>105</v>
      </c>
      <c r="D7" s="46" t="s">
        <v>160</v>
      </c>
    </row>
    <row r="8" spans="1:4">
      <c r="A8" s="46">
        <v>4001</v>
      </c>
      <c r="B8" s="46">
        <v>5000</v>
      </c>
      <c r="C8" s="46">
        <v>115</v>
      </c>
      <c r="D8" s="46" t="s">
        <v>160</v>
      </c>
    </row>
    <row r="9" spans="1:4">
      <c r="A9" s="46">
        <v>5001</v>
      </c>
      <c r="B9" s="46">
        <v>6000</v>
      </c>
      <c r="C9" s="46">
        <v>125</v>
      </c>
      <c r="D9" s="46" t="s">
        <v>160</v>
      </c>
    </row>
    <row r="10" spans="1:4">
      <c r="A10" s="46">
        <v>6001</v>
      </c>
      <c r="B10" s="46">
        <v>7000</v>
      </c>
      <c r="C10" s="46">
        <v>135</v>
      </c>
      <c r="D10" s="46" t="s">
        <v>160</v>
      </c>
    </row>
    <row r="11" spans="1:4">
      <c r="A11" s="46">
        <v>7001</v>
      </c>
      <c r="B11" s="46">
        <v>8000</v>
      </c>
      <c r="C11" s="46">
        <v>145</v>
      </c>
      <c r="D11" s="46" t="s">
        <v>160</v>
      </c>
    </row>
    <row r="12" spans="1:4">
      <c r="A12" s="46">
        <v>8001</v>
      </c>
      <c r="B12" s="46">
        <v>9000</v>
      </c>
      <c r="C12" s="46">
        <v>155</v>
      </c>
      <c r="D12" s="46" t="s">
        <v>160</v>
      </c>
    </row>
    <row r="13" spans="1:4">
      <c r="A13" s="46">
        <v>9001</v>
      </c>
      <c r="B13" s="46">
        <v>10000</v>
      </c>
      <c r="C13" s="46">
        <v>165</v>
      </c>
      <c r="D13" s="46" t="s">
        <v>160</v>
      </c>
    </row>
    <row r="14" spans="1:4">
      <c r="A14" s="46">
        <v>10001</v>
      </c>
      <c r="B14" s="46">
        <v>15000</v>
      </c>
      <c r="C14" s="46">
        <v>175</v>
      </c>
      <c r="D14" s="46" t="s">
        <v>160</v>
      </c>
    </row>
    <row r="15" spans="1:4">
      <c r="A15" s="46">
        <v>15001</v>
      </c>
      <c r="B15" s="46">
        <v>20000</v>
      </c>
      <c r="C15" s="46">
        <v>185</v>
      </c>
      <c r="D15" s="46" t="s">
        <v>160</v>
      </c>
    </row>
    <row r="16" spans="1:4">
      <c r="A16" s="46">
        <v>20001</v>
      </c>
      <c r="B16" s="46">
        <v>25000</v>
      </c>
      <c r="C16" s="46">
        <v>195</v>
      </c>
      <c r="D16" s="46" t="s">
        <v>160</v>
      </c>
    </row>
    <row r="17" spans="1:4">
      <c r="A17" s="46">
        <v>25001</v>
      </c>
      <c r="B17" s="46">
        <v>30000</v>
      </c>
      <c r="C17" s="46">
        <v>205</v>
      </c>
      <c r="D17" s="46" t="s">
        <v>160</v>
      </c>
    </row>
    <row r="18" spans="1:4">
      <c r="A18" s="46">
        <v>30001</v>
      </c>
      <c r="B18" s="46">
        <v>35000</v>
      </c>
      <c r="C18" s="46">
        <v>215</v>
      </c>
      <c r="D18" s="46" t="s">
        <v>160</v>
      </c>
    </row>
    <row r="19" spans="1:4">
      <c r="A19" s="46">
        <v>35001</v>
      </c>
      <c r="B19" s="46">
        <v>40000</v>
      </c>
      <c r="C19" s="46">
        <v>225</v>
      </c>
      <c r="D19" s="46" t="s">
        <v>160</v>
      </c>
    </row>
    <row r="20" spans="1:4">
      <c r="A20" s="46">
        <v>40001</v>
      </c>
      <c r="B20" s="46">
        <v>45000</v>
      </c>
      <c r="C20" s="46">
        <v>235</v>
      </c>
      <c r="D20" s="46" t="s">
        <v>160</v>
      </c>
    </row>
    <row r="21" spans="1:4">
      <c r="A21" s="46">
        <v>45001</v>
      </c>
      <c r="B21" s="46">
        <v>50000</v>
      </c>
      <c r="C21" s="46">
        <v>245</v>
      </c>
      <c r="D21" s="46" t="s">
        <v>160</v>
      </c>
    </row>
    <row r="22" spans="1:4">
      <c r="A22" s="46">
        <v>50001</v>
      </c>
      <c r="B22" s="46">
        <v>55000</v>
      </c>
      <c r="C22" s="46">
        <v>255</v>
      </c>
      <c r="D22" s="46" t="s">
        <v>160</v>
      </c>
    </row>
    <row r="23" spans="1:4">
      <c r="A23" s="46">
        <v>55001</v>
      </c>
      <c r="B23" s="46">
        <v>60000</v>
      </c>
      <c r="C23" s="46">
        <v>265</v>
      </c>
      <c r="D23" s="46" t="s">
        <v>160</v>
      </c>
    </row>
    <row r="24" spans="1:4">
      <c r="A24" s="46">
        <v>60001</v>
      </c>
      <c r="B24" s="46">
        <v>65000</v>
      </c>
      <c r="C24" s="46">
        <v>275</v>
      </c>
      <c r="D24" s="46" t="s">
        <v>160</v>
      </c>
    </row>
    <row r="25" spans="1:4">
      <c r="A25" s="46">
        <v>65001</v>
      </c>
      <c r="B25" s="46">
        <v>70000</v>
      </c>
      <c r="C25" s="46">
        <v>285</v>
      </c>
      <c r="D25" s="46" t="s">
        <v>160</v>
      </c>
    </row>
    <row r="26" spans="1:4">
      <c r="A26" s="46">
        <v>70001</v>
      </c>
      <c r="B26" s="46">
        <v>75000</v>
      </c>
      <c r="C26" s="46">
        <v>295</v>
      </c>
      <c r="D26" s="46" t="s">
        <v>160</v>
      </c>
    </row>
    <row r="27" spans="1:4">
      <c r="A27" s="46">
        <v>75001</v>
      </c>
      <c r="B27" s="46">
        <v>80000</v>
      </c>
      <c r="C27" s="46">
        <v>305</v>
      </c>
      <c r="D27" s="46" t="s">
        <v>160</v>
      </c>
    </row>
    <row r="28" spans="1:4">
      <c r="A28" s="46">
        <v>80001</v>
      </c>
      <c r="B28" s="46">
        <v>85000</v>
      </c>
      <c r="C28" s="46">
        <v>315</v>
      </c>
      <c r="D28" s="46" t="s">
        <v>160</v>
      </c>
    </row>
    <row r="29" spans="1:4">
      <c r="A29" s="46">
        <v>85001</v>
      </c>
      <c r="B29" s="46">
        <v>90000</v>
      </c>
      <c r="C29" s="46">
        <v>325</v>
      </c>
      <c r="D29" s="46" t="s">
        <v>160</v>
      </c>
    </row>
    <row r="30" spans="1:4">
      <c r="A30" s="46">
        <v>90001</v>
      </c>
      <c r="B30" s="46">
        <v>95000</v>
      </c>
      <c r="C30" s="46">
        <v>335</v>
      </c>
      <c r="D30" s="46" t="s">
        <v>160</v>
      </c>
    </row>
    <row r="31" spans="1:4">
      <c r="A31" s="46">
        <v>95001</v>
      </c>
      <c r="B31" s="46">
        <v>100000</v>
      </c>
      <c r="C31" s="46">
        <v>345</v>
      </c>
      <c r="D31" s="46" t="s">
        <v>160</v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31"/>
  <sheetViews>
    <sheetView workbookViewId="0">
      <selection activeCell="P16" sqref="P16"/>
    </sheetView>
  </sheetViews>
  <sheetFormatPr defaultRowHeight="16.5"/>
  <cols>
    <col min="3" max="3" width="20.125" bestFit="1" customWidth="1"/>
  </cols>
  <sheetData>
    <row r="1" spans="1:3">
      <c r="A1" s="38" t="s">
        <v>161</v>
      </c>
      <c r="B1" s="38" t="s">
        <v>162</v>
      </c>
      <c r="C1" s="38" t="s">
        <v>163</v>
      </c>
    </row>
    <row r="2" spans="1:3">
      <c r="A2" s="46">
        <v>1</v>
      </c>
      <c r="B2" s="46">
        <v>200</v>
      </c>
      <c r="C2" s="46">
        <v>55</v>
      </c>
    </row>
    <row r="3" spans="1:3">
      <c r="A3" s="46">
        <v>201</v>
      </c>
      <c r="B3" s="46">
        <v>500</v>
      </c>
      <c r="C3" s="46">
        <v>65</v>
      </c>
    </row>
    <row r="4" spans="1:3">
      <c r="A4" s="46">
        <v>501</v>
      </c>
      <c r="B4" s="46">
        <v>1000</v>
      </c>
      <c r="C4" s="46">
        <v>75</v>
      </c>
    </row>
    <row r="5" spans="1:3">
      <c r="A5" s="46">
        <v>1001</v>
      </c>
      <c r="B5" s="46">
        <v>2000</v>
      </c>
      <c r="C5" s="46">
        <v>85</v>
      </c>
    </row>
    <row r="6" spans="1:3">
      <c r="A6" s="46">
        <v>2001</v>
      </c>
      <c r="B6" s="46">
        <v>3000</v>
      </c>
      <c r="C6" s="46">
        <v>95</v>
      </c>
    </row>
    <row r="7" spans="1:3">
      <c r="A7" s="46">
        <v>3001</v>
      </c>
      <c r="B7" s="46">
        <v>4000</v>
      </c>
      <c r="C7" s="46">
        <v>105</v>
      </c>
    </row>
    <row r="8" spans="1:3">
      <c r="A8" s="46">
        <v>4001</v>
      </c>
      <c r="B8" s="46">
        <v>5000</v>
      </c>
      <c r="C8" s="46">
        <v>115</v>
      </c>
    </row>
    <row r="9" spans="1:3">
      <c r="A9" s="46">
        <v>5001</v>
      </c>
      <c r="B9" s="46">
        <v>6000</v>
      </c>
      <c r="C9" s="46">
        <v>125</v>
      </c>
    </row>
    <row r="10" spans="1:3">
      <c r="A10" s="46">
        <v>6001</v>
      </c>
      <c r="B10" s="46">
        <v>7000</v>
      </c>
      <c r="C10" s="46">
        <v>135</v>
      </c>
    </row>
    <row r="11" spans="1:3">
      <c r="A11" s="46">
        <v>7001</v>
      </c>
      <c r="B11" s="46">
        <v>8000</v>
      </c>
      <c r="C11" s="46">
        <v>145</v>
      </c>
    </row>
    <row r="12" spans="1:3">
      <c r="A12" s="46">
        <v>8001</v>
      </c>
      <c r="B12" s="46">
        <v>9000</v>
      </c>
      <c r="C12" s="46">
        <v>155</v>
      </c>
    </row>
    <row r="13" spans="1:3">
      <c r="A13" s="46">
        <v>9001</v>
      </c>
      <c r="B13" s="46">
        <v>10000</v>
      </c>
      <c r="C13" s="46">
        <v>165</v>
      </c>
    </row>
    <row r="14" spans="1:3">
      <c r="A14" s="46">
        <v>10001</v>
      </c>
      <c r="B14" s="46">
        <v>15000</v>
      </c>
      <c r="C14" s="46">
        <v>175</v>
      </c>
    </row>
    <row r="15" spans="1:3">
      <c r="A15" s="46">
        <v>15001</v>
      </c>
      <c r="B15" s="46">
        <v>20000</v>
      </c>
      <c r="C15" s="46">
        <v>185</v>
      </c>
    </row>
    <row r="16" spans="1:3">
      <c r="A16" s="46">
        <v>20001</v>
      </c>
      <c r="B16" s="46">
        <v>25000</v>
      </c>
      <c r="C16" s="46">
        <v>195</v>
      </c>
    </row>
    <row r="17" spans="1:3">
      <c r="A17" s="46">
        <v>25001</v>
      </c>
      <c r="B17" s="46">
        <v>30000</v>
      </c>
      <c r="C17" s="46">
        <v>205</v>
      </c>
    </row>
    <row r="18" spans="1:3">
      <c r="A18" s="46">
        <v>30001</v>
      </c>
      <c r="B18" s="46">
        <v>35000</v>
      </c>
      <c r="C18" s="46">
        <v>215</v>
      </c>
    </row>
    <row r="19" spans="1:3">
      <c r="A19" s="46">
        <v>35001</v>
      </c>
      <c r="B19" s="46">
        <v>40000</v>
      </c>
      <c r="C19" s="46">
        <v>225</v>
      </c>
    </row>
    <row r="20" spans="1:3">
      <c r="A20" s="46">
        <v>40001</v>
      </c>
      <c r="B20" s="46">
        <v>45000</v>
      </c>
      <c r="C20" s="46">
        <v>235</v>
      </c>
    </row>
    <row r="21" spans="1:3">
      <c r="A21" s="46">
        <v>45001</v>
      </c>
      <c r="B21" s="46">
        <v>50000</v>
      </c>
      <c r="C21" s="46">
        <v>245</v>
      </c>
    </row>
    <row r="22" spans="1:3">
      <c r="A22" s="46">
        <v>50001</v>
      </c>
      <c r="B22" s="46">
        <v>55000</v>
      </c>
      <c r="C22" s="46">
        <v>255</v>
      </c>
    </row>
    <row r="23" spans="1:3">
      <c r="A23" s="46">
        <v>55001</v>
      </c>
      <c r="B23" s="46">
        <v>60000</v>
      </c>
      <c r="C23" s="46">
        <v>265</v>
      </c>
    </row>
    <row r="24" spans="1:3">
      <c r="A24" s="46">
        <v>60001</v>
      </c>
      <c r="B24" s="46">
        <v>65000</v>
      </c>
      <c r="C24" s="46">
        <v>275</v>
      </c>
    </row>
    <row r="25" spans="1:3">
      <c r="A25" s="46">
        <v>65001</v>
      </c>
      <c r="B25" s="46">
        <v>70000</v>
      </c>
      <c r="C25" s="46">
        <v>285</v>
      </c>
    </row>
    <row r="26" spans="1:3">
      <c r="A26" s="46">
        <v>70001</v>
      </c>
      <c r="B26" s="46">
        <v>75000</v>
      </c>
      <c r="C26" s="46">
        <v>295</v>
      </c>
    </row>
    <row r="27" spans="1:3">
      <c r="A27" s="46">
        <v>75001</v>
      </c>
      <c r="B27" s="46">
        <v>80000</v>
      </c>
      <c r="C27" s="46">
        <v>305</v>
      </c>
    </row>
    <row r="28" spans="1:3">
      <c r="A28" s="46">
        <v>80001</v>
      </c>
      <c r="B28" s="46">
        <v>85000</v>
      </c>
      <c r="C28" s="46">
        <v>315</v>
      </c>
    </row>
    <row r="29" spans="1:3">
      <c r="A29" s="46">
        <v>85001</v>
      </c>
      <c r="B29" s="46">
        <v>90000</v>
      </c>
      <c r="C29" s="46">
        <v>325</v>
      </c>
    </row>
    <row r="30" spans="1:3">
      <c r="A30" s="46">
        <v>90001</v>
      </c>
      <c r="B30" s="46">
        <v>95000</v>
      </c>
      <c r="C30" s="46">
        <v>335</v>
      </c>
    </row>
    <row r="31" spans="1:3">
      <c r="A31" s="46">
        <v>95001</v>
      </c>
      <c r="B31" s="46">
        <v>100000</v>
      </c>
      <c r="C31" s="46">
        <v>345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31"/>
  <sheetViews>
    <sheetView workbookViewId="0">
      <selection activeCell="I24" sqref="I24"/>
    </sheetView>
  </sheetViews>
  <sheetFormatPr defaultRowHeight="16.5"/>
  <cols>
    <col min="2" max="2" width="9.25" bestFit="1" customWidth="1"/>
    <col min="3" max="3" width="20.125" bestFit="1" customWidth="1"/>
  </cols>
  <sheetData>
    <row r="1" spans="1:3">
      <c r="A1" s="34" t="s">
        <v>164</v>
      </c>
      <c r="B1" s="34" t="s">
        <v>165</v>
      </c>
      <c r="C1" s="34" t="s">
        <v>158</v>
      </c>
    </row>
    <row r="2" spans="1:3">
      <c r="A2" s="46">
        <v>1</v>
      </c>
      <c r="B2" s="46">
        <v>200</v>
      </c>
      <c r="C2" s="46">
        <v>55</v>
      </c>
    </row>
    <row r="3" spans="1:3">
      <c r="A3" s="46">
        <v>201</v>
      </c>
      <c r="B3" s="46">
        <v>500</v>
      </c>
      <c r="C3" s="46">
        <v>65</v>
      </c>
    </row>
    <row r="4" spans="1:3">
      <c r="A4" s="46">
        <v>501</v>
      </c>
      <c r="B4" s="46">
        <v>1000</v>
      </c>
      <c r="C4" s="46">
        <v>75</v>
      </c>
    </row>
    <row r="5" spans="1:3">
      <c r="A5" s="46">
        <v>1001</v>
      </c>
      <c r="B5" s="46">
        <v>2000</v>
      </c>
      <c r="C5" s="46">
        <v>85</v>
      </c>
    </row>
    <row r="6" spans="1:3">
      <c r="A6" s="46">
        <v>2001</v>
      </c>
      <c r="B6" s="46">
        <v>3000</v>
      </c>
      <c r="C6" s="46">
        <v>95</v>
      </c>
    </row>
    <row r="7" spans="1:3">
      <c r="A7" s="46">
        <v>3001</v>
      </c>
      <c r="B7" s="46">
        <v>4000</v>
      </c>
      <c r="C7" s="46">
        <v>105</v>
      </c>
    </row>
    <row r="8" spans="1:3">
      <c r="A8" s="46">
        <v>4001</v>
      </c>
      <c r="B8" s="46">
        <v>5000</v>
      </c>
      <c r="C8" s="46">
        <v>115</v>
      </c>
    </row>
    <row r="9" spans="1:3">
      <c r="A9" s="46">
        <v>5001</v>
      </c>
      <c r="B9" s="46">
        <v>6000</v>
      </c>
      <c r="C9" s="46">
        <v>125</v>
      </c>
    </row>
    <row r="10" spans="1:3">
      <c r="A10" s="46">
        <v>6001</v>
      </c>
      <c r="B10" s="46">
        <v>7000</v>
      </c>
      <c r="C10" s="46">
        <v>135</v>
      </c>
    </row>
    <row r="11" spans="1:3">
      <c r="A11" s="46">
        <v>7001</v>
      </c>
      <c r="B11" s="46">
        <v>8000</v>
      </c>
      <c r="C11" s="46">
        <v>145</v>
      </c>
    </row>
    <row r="12" spans="1:3">
      <c r="A12" s="46">
        <v>8001</v>
      </c>
      <c r="B12" s="46">
        <v>9000</v>
      </c>
      <c r="C12" s="46">
        <v>155</v>
      </c>
    </row>
    <row r="13" spans="1:3">
      <c r="A13" s="46">
        <v>9001</v>
      </c>
      <c r="B13" s="46">
        <v>10000</v>
      </c>
      <c r="C13" s="46">
        <v>165</v>
      </c>
    </row>
    <row r="14" spans="1:3">
      <c r="A14" s="46">
        <v>10001</v>
      </c>
      <c r="B14" s="46">
        <v>15000</v>
      </c>
      <c r="C14" s="46">
        <v>175</v>
      </c>
    </row>
    <row r="15" spans="1:3">
      <c r="A15" s="46">
        <v>15001</v>
      </c>
      <c r="B15" s="46">
        <v>20000</v>
      </c>
      <c r="C15" s="46">
        <v>185</v>
      </c>
    </row>
    <row r="16" spans="1:3">
      <c r="A16" s="46">
        <v>20001</v>
      </c>
      <c r="B16" s="46">
        <v>25000</v>
      </c>
      <c r="C16" s="46">
        <v>195</v>
      </c>
    </row>
    <row r="17" spans="1:3">
      <c r="A17" s="46">
        <v>25001</v>
      </c>
      <c r="B17" s="46">
        <v>30000</v>
      </c>
      <c r="C17" s="46">
        <v>205</v>
      </c>
    </row>
    <row r="18" spans="1:3">
      <c r="A18" s="46">
        <v>30001</v>
      </c>
      <c r="B18" s="46">
        <v>35000</v>
      </c>
      <c r="C18" s="46">
        <v>215</v>
      </c>
    </row>
    <row r="19" spans="1:3">
      <c r="A19" s="46">
        <v>35001</v>
      </c>
      <c r="B19" s="46">
        <v>40000</v>
      </c>
      <c r="C19" s="46">
        <v>225</v>
      </c>
    </row>
    <row r="20" spans="1:3">
      <c r="A20" s="46">
        <v>40001</v>
      </c>
      <c r="B20" s="46">
        <v>45000</v>
      </c>
      <c r="C20" s="46">
        <v>235</v>
      </c>
    </row>
    <row r="21" spans="1:3">
      <c r="A21" s="46">
        <v>45001</v>
      </c>
      <c r="B21" s="46">
        <v>50000</v>
      </c>
      <c r="C21" s="46">
        <v>245</v>
      </c>
    </row>
    <row r="22" spans="1:3">
      <c r="A22" s="46">
        <v>50001</v>
      </c>
      <c r="B22" s="46">
        <v>55000</v>
      </c>
      <c r="C22" s="46">
        <v>255</v>
      </c>
    </row>
    <row r="23" spans="1:3">
      <c r="A23" s="46">
        <v>55001</v>
      </c>
      <c r="B23" s="46">
        <v>60000</v>
      </c>
      <c r="C23" s="46">
        <v>265</v>
      </c>
    </row>
    <row r="24" spans="1:3">
      <c r="A24" s="46">
        <v>60001</v>
      </c>
      <c r="B24" s="46">
        <v>65000</v>
      </c>
      <c r="C24" s="46">
        <v>275</v>
      </c>
    </row>
    <row r="25" spans="1:3">
      <c r="A25" s="46">
        <v>65001</v>
      </c>
      <c r="B25" s="46">
        <v>70000</v>
      </c>
      <c r="C25" s="46">
        <v>285</v>
      </c>
    </row>
    <row r="26" spans="1:3">
      <c r="A26" s="46">
        <v>70001</v>
      </c>
      <c r="B26" s="46">
        <v>75000</v>
      </c>
      <c r="C26" s="46">
        <v>295</v>
      </c>
    </row>
    <row r="27" spans="1:3">
      <c r="A27" s="46">
        <v>75001</v>
      </c>
      <c r="B27" s="46">
        <v>80000</v>
      </c>
      <c r="C27" s="46">
        <v>305</v>
      </c>
    </row>
    <row r="28" spans="1:3">
      <c r="A28" s="46">
        <v>80001</v>
      </c>
      <c r="B28" s="46">
        <v>85000</v>
      </c>
      <c r="C28" s="46">
        <v>315</v>
      </c>
    </row>
    <row r="29" spans="1:3">
      <c r="A29" s="46">
        <v>85001</v>
      </c>
      <c r="B29" s="46">
        <v>90000</v>
      </c>
      <c r="C29" s="46">
        <v>325</v>
      </c>
    </row>
    <row r="30" spans="1:3">
      <c r="A30" s="46">
        <v>90001</v>
      </c>
      <c r="B30" s="46">
        <v>95000</v>
      </c>
      <c r="C30" s="46">
        <v>335</v>
      </c>
    </row>
    <row r="31" spans="1:3">
      <c r="A31" s="46">
        <v>95001</v>
      </c>
      <c r="B31" s="46">
        <v>100000</v>
      </c>
      <c r="C31" s="46">
        <v>345</v>
      </c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1"/>
  <sheetViews>
    <sheetView workbookViewId="0">
      <selection sqref="A1:C31"/>
    </sheetView>
  </sheetViews>
  <sheetFormatPr defaultRowHeight="16.5"/>
  <cols>
    <col min="1" max="1" width="9.75" bestFit="1" customWidth="1"/>
    <col min="2" max="2" width="10" bestFit="1" customWidth="1"/>
    <col min="3" max="3" width="20.125" bestFit="1" customWidth="1"/>
  </cols>
  <sheetData>
    <row r="1" spans="1:3">
      <c r="A1" s="38" t="s">
        <v>166</v>
      </c>
      <c r="B1" s="38" t="s">
        <v>167</v>
      </c>
      <c r="C1" s="38" t="s">
        <v>163</v>
      </c>
    </row>
    <row r="2" spans="1:3">
      <c r="A2" s="46">
        <v>1</v>
      </c>
      <c r="B2" s="46">
        <v>200</v>
      </c>
      <c r="C2" s="46">
        <v>55</v>
      </c>
    </row>
    <row r="3" spans="1:3">
      <c r="A3" s="46">
        <v>201</v>
      </c>
      <c r="B3" s="46">
        <v>500</v>
      </c>
      <c r="C3" s="46">
        <v>65</v>
      </c>
    </row>
    <row r="4" spans="1:3">
      <c r="A4" s="46">
        <v>501</v>
      </c>
      <c r="B4" s="46">
        <v>1000</v>
      </c>
      <c r="C4" s="46">
        <v>75</v>
      </c>
    </row>
    <row r="5" spans="1:3">
      <c r="A5" s="46">
        <v>1001</v>
      </c>
      <c r="B5" s="46">
        <v>2000</v>
      </c>
      <c r="C5" s="46">
        <v>85</v>
      </c>
    </row>
    <row r="6" spans="1:3">
      <c r="A6" s="46">
        <v>2001</v>
      </c>
      <c r="B6" s="46">
        <v>3000</v>
      </c>
      <c r="C6" s="46">
        <v>95</v>
      </c>
    </row>
    <row r="7" spans="1:3">
      <c r="A7" s="46">
        <v>3001</v>
      </c>
      <c r="B7" s="46">
        <v>4000</v>
      </c>
      <c r="C7" s="46">
        <v>105</v>
      </c>
    </row>
    <row r="8" spans="1:3">
      <c r="A8" s="46">
        <v>4001</v>
      </c>
      <c r="B8" s="46">
        <v>5000</v>
      </c>
      <c r="C8" s="46">
        <v>115</v>
      </c>
    </row>
    <row r="9" spans="1:3">
      <c r="A9" s="46">
        <v>5001</v>
      </c>
      <c r="B9" s="46">
        <v>6000</v>
      </c>
      <c r="C9" s="46">
        <v>125</v>
      </c>
    </row>
    <row r="10" spans="1:3">
      <c r="A10" s="46">
        <v>6001</v>
      </c>
      <c r="B10" s="46">
        <v>7000</v>
      </c>
      <c r="C10" s="46">
        <v>135</v>
      </c>
    </row>
    <row r="11" spans="1:3">
      <c r="A11" s="46">
        <v>7001</v>
      </c>
      <c r="B11" s="46">
        <v>8000</v>
      </c>
      <c r="C11" s="46">
        <v>145</v>
      </c>
    </row>
    <row r="12" spans="1:3">
      <c r="A12" s="46">
        <v>8001</v>
      </c>
      <c r="B12" s="46">
        <v>9000</v>
      </c>
      <c r="C12" s="46">
        <v>155</v>
      </c>
    </row>
    <row r="13" spans="1:3">
      <c r="A13" s="46">
        <v>9001</v>
      </c>
      <c r="B13" s="46">
        <v>10000</v>
      </c>
      <c r="C13" s="46">
        <v>165</v>
      </c>
    </row>
    <row r="14" spans="1:3">
      <c r="A14" s="46">
        <v>10001</v>
      </c>
      <c r="B14" s="46">
        <v>15000</v>
      </c>
      <c r="C14" s="46">
        <v>175</v>
      </c>
    </row>
    <row r="15" spans="1:3">
      <c r="A15" s="46">
        <v>15001</v>
      </c>
      <c r="B15" s="46">
        <v>20000</v>
      </c>
      <c r="C15" s="46">
        <v>185</v>
      </c>
    </row>
    <row r="16" spans="1:3">
      <c r="A16" s="46">
        <v>20001</v>
      </c>
      <c r="B16" s="46">
        <v>25000</v>
      </c>
      <c r="C16" s="46">
        <v>195</v>
      </c>
    </row>
    <row r="17" spans="1:3">
      <c r="A17" s="46">
        <v>25001</v>
      </c>
      <c r="B17" s="46">
        <v>30000</v>
      </c>
      <c r="C17" s="46">
        <v>205</v>
      </c>
    </row>
    <row r="18" spans="1:3">
      <c r="A18" s="46">
        <v>30001</v>
      </c>
      <c r="B18" s="46">
        <v>35000</v>
      </c>
      <c r="C18" s="46">
        <v>215</v>
      </c>
    </row>
    <row r="19" spans="1:3">
      <c r="A19" s="46">
        <v>35001</v>
      </c>
      <c r="B19" s="46">
        <v>40000</v>
      </c>
      <c r="C19" s="46">
        <v>225</v>
      </c>
    </row>
    <row r="20" spans="1:3">
      <c r="A20" s="46">
        <v>40001</v>
      </c>
      <c r="B20" s="46">
        <v>45000</v>
      </c>
      <c r="C20" s="46">
        <v>235</v>
      </c>
    </row>
    <row r="21" spans="1:3">
      <c r="A21" s="46">
        <v>45001</v>
      </c>
      <c r="B21" s="46">
        <v>50000</v>
      </c>
      <c r="C21" s="46">
        <v>245</v>
      </c>
    </row>
    <row r="22" spans="1:3">
      <c r="A22" s="46">
        <v>50001</v>
      </c>
      <c r="B22" s="46">
        <v>55000</v>
      </c>
      <c r="C22" s="46">
        <v>255</v>
      </c>
    </row>
    <row r="23" spans="1:3">
      <c r="A23" s="46">
        <v>55001</v>
      </c>
      <c r="B23" s="46">
        <v>60000</v>
      </c>
      <c r="C23" s="46">
        <v>265</v>
      </c>
    </row>
    <row r="24" spans="1:3">
      <c r="A24" s="46">
        <v>60001</v>
      </c>
      <c r="B24" s="46">
        <v>65000</v>
      </c>
      <c r="C24" s="46">
        <v>275</v>
      </c>
    </row>
    <row r="25" spans="1:3">
      <c r="A25" s="46">
        <v>65001</v>
      </c>
      <c r="B25" s="46">
        <v>70000</v>
      </c>
      <c r="C25" s="46">
        <v>285</v>
      </c>
    </row>
    <row r="26" spans="1:3">
      <c r="A26" s="46">
        <v>70001</v>
      </c>
      <c r="B26" s="46">
        <v>75000</v>
      </c>
      <c r="C26" s="46">
        <v>295</v>
      </c>
    </row>
    <row r="27" spans="1:3">
      <c r="A27" s="46">
        <v>75001</v>
      </c>
      <c r="B27" s="46">
        <v>80000</v>
      </c>
      <c r="C27" s="46">
        <v>305</v>
      </c>
    </row>
    <row r="28" spans="1:3">
      <c r="A28" s="46">
        <v>80001</v>
      </c>
      <c r="B28" s="46">
        <v>85000</v>
      </c>
      <c r="C28" s="46">
        <v>315</v>
      </c>
    </row>
    <row r="29" spans="1:3">
      <c r="A29" s="46">
        <v>85001</v>
      </c>
      <c r="B29" s="46">
        <v>90000</v>
      </c>
      <c r="C29" s="46">
        <v>325</v>
      </c>
    </row>
    <row r="30" spans="1:3">
      <c r="A30" s="46">
        <v>90001</v>
      </c>
      <c r="B30" s="46">
        <v>95000</v>
      </c>
      <c r="C30" s="46">
        <v>335</v>
      </c>
    </row>
    <row r="31" spans="1:3">
      <c r="A31" s="46">
        <v>95001</v>
      </c>
      <c r="B31" s="46">
        <v>100000</v>
      </c>
      <c r="C31" s="46">
        <v>345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31"/>
  <sheetViews>
    <sheetView workbookViewId="0">
      <selection sqref="A1:C31"/>
    </sheetView>
  </sheetViews>
  <sheetFormatPr defaultRowHeight="16.5"/>
  <cols>
    <col min="3" max="3" width="20.125" bestFit="1" customWidth="1"/>
  </cols>
  <sheetData>
    <row r="1" spans="1:3">
      <c r="A1" s="38" t="s">
        <v>168</v>
      </c>
      <c r="B1" s="38" t="s">
        <v>169</v>
      </c>
      <c r="C1" s="38" t="s">
        <v>163</v>
      </c>
    </row>
    <row r="2" spans="1:3">
      <c r="A2" s="46">
        <v>1</v>
      </c>
      <c r="B2" s="46">
        <v>200</v>
      </c>
      <c r="C2" s="46">
        <v>55</v>
      </c>
    </row>
    <row r="3" spans="1:3">
      <c r="A3" s="46">
        <v>201</v>
      </c>
      <c r="B3" s="46">
        <v>500</v>
      </c>
      <c r="C3" s="46">
        <v>65</v>
      </c>
    </row>
    <row r="4" spans="1:3">
      <c r="A4" s="46">
        <v>501</v>
      </c>
      <c r="B4" s="46">
        <v>1000</v>
      </c>
      <c r="C4" s="46">
        <v>75</v>
      </c>
    </row>
    <row r="5" spans="1:3">
      <c r="A5" s="46">
        <v>1001</v>
      </c>
      <c r="B5" s="46">
        <v>2000</v>
      </c>
      <c r="C5" s="46">
        <v>85</v>
      </c>
    </row>
    <row r="6" spans="1:3">
      <c r="A6" s="46">
        <v>2001</v>
      </c>
      <c r="B6" s="46">
        <v>3000</v>
      </c>
      <c r="C6" s="46">
        <v>95</v>
      </c>
    </row>
    <row r="7" spans="1:3">
      <c r="A7" s="46">
        <v>3001</v>
      </c>
      <c r="B7" s="46">
        <v>4000</v>
      </c>
      <c r="C7" s="46">
        <v>105</v>
      </c>
    </row>
    <row r="8" spans="1:3">
      <c r="A8" s="46">
        <v>4001</v>
      </c>
      <c r="B8" s="46">
        <v>5000</v>
      </c>
      <c r="C8" s="46">
        <v>115</v>
      </c>
    </row>
    <row r="9" spans="1:3">
      <c r="A9" s="46">
        <v>5001</v>
      </c>
      <c r="B9" s="46">
        <v>6000</v>
      </c>
      <c r="C9" s="46">
        <v>125</v>
      </c>
    </row>
    <row r="10" spans="1:3">
      <c r="A10" s="46">
        <v>6001</v>
      </c>
      <c r="B10" s="46">
        <v>7000</v>
      </c>
      <c r="C10" s="46">
        <v>135</v>
      </c>
    </row>
    <row r="11" spans="1:3">
      <c r="A11" s="46">
        <v>7001</v>
      </c>
      <c r="B11" s="46">
        <v>8000</v>
      </c>
      <c r="C11" s="46">
        <v>145</v>
      </c>
    </row>
    <row r="12" spans="1:3">
      <c r="A12" s="46">
        <v>8001</v>
      </c>
      <c r="B12" s="46">
        <v>9000</v>
      </c>
      <c r="C12" s="46">
        <v>155</v>
      </c>
    </row>
    <row r="13" spans="1:3">
      <c r="A13" s="46">
        <v>9001</v>
      </c>
      <c r="B13" s="46">
        <v>10000</v>
      </c>
      <c r="C13" s="46">
        <v>165</v>
      </c>
    </row>
    <row r="14" spans="1:3">
      <c r="A14" s="46">
        <v>10001</v>
      </c>
      <c r="B14" s="46">
        <v>15000</v>
      </c>
      <c r="C14" s="46">
        <v>175</v>
      </c>
    </row>
    <row r="15" spans="1:3">
      <c r="A15" s="46">
        <v>15001</v>
      </c>
      <c r="B15" s="46">
        <v>20000</v>
      </c>
      <c r="C15" s="46">
        <v>185</v>
      </c>
    </row>
    <row r="16" spans="1:3">
      <c r="A16" s="46">
        <v>20001</v>
      </c>
      <c r="B16" s="46">
        <v>25000</v>
      </c>
      <c r="C16" s="46">
        <v>195</v>
      </c>
    </row>
    <row r="17" spans="1:3">
      <c r="A17" s="46">
        <v>25001</v>
      </c>
      <c r="B17" s="46">
        <v>30000</v>
      </c>
      <c r="C17" s="46">
        <v>205</v>
      </c>
    </row>
    <row r="18" spans="1:3">
      <c r="A18" s="46">
        <v>30001</v>
      </c>
      <c r="B18" s="46">
        <v>35000</v>
      </c>
      <c r="C18" s="46">
        <v>215</v>
      </c>
    </row>
    <row r="19" spans="1:3">
      <c r="A19" s="46">
        <v>35001</v>
      </c>
      <c r="B19" s="46">
        <v>40000</v>
      </c>
      <c r="C19" s="46">
        <v>225</v>
      </c>
    </row>
    <row r="20" spans="1:3">
      <c r="A20" s="46">
        <v>40001</v>
      </c>
      <c r="B20" s="46">
        <v>45000</v>
      </c>
      <c r="C20" s="46">
        <v>235</v>
      </c>
    </row>
    <row r="21" spans="1:3">
      <c r="A21" s="46">
        <v>45001</v>
      </c>
      <c r="B21" s="46">
        <v>50000</v>
      </c>
      <c r="C21" s="46">
        <v>245</v>
      </c>
    </row>
    <row r="22" spans="1:3">
      <c r="A22" s="46">
        <v>50001</v>
      </c>
      <c r="B22" s="46">
        <v>55000</v>
      </c>
      <c r="C22" s="46">
        <v>255</v>
      </c>
    </row>
    <row r="23" spans="1:3">
      <c r="A23" s="46">
        <v>55001</v>
      </c>
      <c r="B23" s="46">
        <v>60000</v>
      </c>
      <c r="C23" s="46">
        <v>265</v>
      </c>
    </row>
    <row r="24" spans="1:3">
      <c r="A24" s="46">
        <v>60001</v>
      </c>
      <c r="B24" s="46">
        <v>65000</v>
      </c>
      <c r="C24" s="46">
        <v>275</v>
      </c>
    </row>
    <row r="25" spans="1:3">
      <c r="A25" s="46">
        <v>65001</v>
      </c>
      <c r="B25" s="46">
        <v>70000</v>
      </c>
      <c r="C25" s="46">
        <v>285</v>
      </c>
    </row>
    <row r="26" spans="1:3">
      <c r="A26" s="46">
        <v>70001</v>
      </c>
      <c r="B26" s="46">
        <v>75000</v>
      </c>
      <c r="C26" s="46">
        <v>295</v>
      </c>
    </row>
    <row r="27" spans="1:3">
      <c r="A27" s="46">
        <v>75001</v>
      </c>
      <c r="B27" s="46">
        <v>80000</v>
      </c>
      <c r="C27" s="46">
        <v>305</v>
      </c>
    </row>
    <row r="28" spans="1:3">
      <c r="A28" s="46">
        <v>80001</v>
      </c>
      <c r="B28" s="46">
        <v>85000</v>
      </c>
      <c r="C28" s="46">
        <v>315</v>
      </c>
    </row>
    <row r="29" spans="1:3">
      <c r="A29" s="46">
        <v>85001</v>
      </c>
      <c r="B29" s="46">
        <v>90000</v>
      </c>
      <c r="C29" s="46">
        <v>325</v>
      </c>
    </row>
    <row r="30" spans="1:3">
      <c r="A30" s="46">
        <v>90001</v>
      </c>
      <c r="B30" s="46">
        <v>95000</v>
      </c>
      <c r="C30" s="46">
        <v>335</v>
      </c>
    </row>
    <row r="31" spans="1:3">
      <c r="A31" s="46">
        <v>95001</v>
      </c>
      <c r="B31" s="46">
        <v>100000</v>
      </c>
      <c r="C31" s="46">
        <v>345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2"/>
  <sheetViews>
    <sheetView workbookViewId="0">
      <selection activeCell="C1" sqref="C1"/>
    </sheetView>
  </sheetViews>
  <sheetFormatPr defaultRowHeight="16.5"/>
  <cols>
    <col min="1" max="1" width="8.25" bestFit="1" customWidth="1"/>
    <col min="2" max="2" width="12.5" bestFit="1" customWidth="1"/>
    <col min="3" max="3" width="20" bestFit="1" customWidth="1"/>
    <col min="4" max="4" width="17.875" bestFit="1" customWidth="1"/>
    <col min="5" max="5" width="13" bestFit="1" customWidth="1"/>
    <col min="6" max="6" width="13.5" bestFit="1" customWidth="1"/>
    <col min="7" max="7" width="12.75" bestFit="1" customWidth="1"/>
    <col min="8" max="8" width="15.875" bestFit="1" customWidth="1"/>
    <col min="9" max="9" width="31.375" bestFit="1" customWidth="1"/>
    <col min="10" max="10" width="8.25" bestFit="1" customWidth="1"/>
    <col min="11" max="11" width="10" bestFit="1" customWidth="1"/>
    <col min="12" max="12" width="14.625" bestFit="1" customWidth="1"/>
  </cols>
  <sheetData>
    <row r="1" spans="1:12">
      <c r="A1" s="38" t="s">
        <v>170</v>
      </c>
      <c r="B1" s="38" t="s">
        <v>171</v>
      </c>
      <c r="C1" s="38" t="s">
        <v>1162</v>
      </c>
      <c r="D1" s="38" t="s">
        <v>172</v>
      </c>
      <c r="E1" s="38" t="s">
        <v>173</v>
      </c>
      <c r="F1" s="38" t="s">
        <v>174</v>
      </c>
      <c r="G1" s="38" t="s">
        <v>175</v>
      </c>
      <c r="H1" s="38" t="s">
        <v>176</v>
      </c>
      <c r="I1" s="38" t="s">
        <v>123</v>
      </c>
      <c r="J1" s="38" t="s">
        <v>177</v>
      </c>
      <c r="K1" s="38" t="s">
        <v>178</v>
      </c>
      <c r="L1" s="38" t="s">
        <v>262</v>
      </c>
    </row>
    <row r="2" spans="1:12">
      <c r="A2" s="46">
        <v>94001</v>
      </c>
      <c r="B2" s="46">
        <v>9999</v>
      </c>
      <c r="C2" s="46" t="s">
        <v>179</v>
      </c>
      <c r="D2" s="46">
        <v>0</v>
      </c>
      <c r="E2" s="46">
        <v>500</v>
      </c>
      <c r="F2" s="46">
        <v>0</v>
      </c>
      <c r="G2" s="46">
        <v>100</v>
      </c>
      <c r="H2" s="46">
        <v>2</v>
      </c>
      <c r="I2" s="46" t="s">
        <v>180</v>
      </c>
      <c r="J2" s="46">
        <v>9999</v>
      </c>
      <c r="K2" s="46" t="s">
        <v>181</v>
      </c>
      <c r="L2" s="46" t="s">
        <v>182</v>
      </c>
    </row>
    <row r="3" spans="1:12">
      <c r="A3" s="46">
        <v>94002</v>
      </c>
      <c r="B3" s="46">
        <v>10500</v>
      </c>
      <c r="C3" s="46" t="s">
        <v>183</v>
      </c>
      <c r="D3" s="46">
        <v>2</v>
      </c>
      <c r="E3" s="46">
        <v>100</v>
      </c>
      <c r="F3" s="46">
        <v>1</v>
      </c>
      <c r="G3" s="46">
        <v>0</v>
      </c>
      <c r="H3" s="46">
        <v>0</v>
      </c>
      <c r="I3" s="46" t="s">
        <v>184</v>
      </c>
      <c r="J3" s="46">
        <v>10500</v>
      </c>
      <c r="K3" s="46" t="s">
        <v>181</v>
      </c>
      <c r="L3" s="46" t="s">
        <v>182</v>
      </c>
    </row>
    <row r="4" spans="1:12">
      <c r="A4" s="46">
        <v>94003</v>
      </c>
      <c r="B4" s="46">
        <v>10600</v>
      </c>
      <c r="C4" s="46" t="s">
        <v>185</v>
      </c>
      <c r="D4" s="46">
        <v>1</v>
      </c>
      <c r="E4" s="46">
        <v>100</v>
      </c>
      <c r="F4" s="46">
        <v>1</v>
      </c>
      <c r="G4" s="46">
        <v>0</v>
      </c>
      <c r="H4" s="46">
        <v>0</v>
      </c>
      <c r="I4" s="46" t="s">
        <v>186</v>
      </c>
      <c r="J4" s="46">
        <v>10600</v>
      </c>
      <c r="K4" s="46" t="s">
        <v>181</v>
      </c>
      <c r="L4" s="46" t="s">
        <v>182</v>
      </c>
    </row>
    <row r="5" spans="1:12">
      <c r="A5" s="46">
        <v>94004</v>
      </c>
      <c r="B5" s="46">
        <v>10700</v>
      </c>
      <c r="C5" s="46" t="s">
        <v>187</v>
      </c>
      <c r="D5" s="46">
        <v>2</v>
      </c>
      <c r="E5" s="46">
        <v>20000</v>
      </c>
      <c r="F5" s="46">
        <v>1</v>
      </c>
      <c r="G5" s="46">
        <v>0</v>
      </c>
      <c r="H5" s="46">
        <v>0</v>
      </c>
      <c r="I5" s="46" t="s">
        <v>188</v>
      </c>
      <c r="J5" s="46">
        <v>10700</v>
      </c>
      <c r="K5" s="46" t="s">
        <v>181</v>
      </c>
      <c r="L5" s="46" t="s">
        <v>182</v>
      </c>
    </row>
    <row r="6" spans="1:12">
      <c r="A6" s="46">
        <v>94005</v>
      </c>
      <c r="B6" s="46">
        <v>10800</v>
      </c>
      <c r="C6" s="46" t="s">
        <v>189</v>
      </c>
      <c r="D6" s="46">
        <v>2</v>
      </c>
      <c r="E6" s="46">
        <v>500</v>
      </c>
      <c r="F6" s="46">
        <v>1</v>
      </c>
      <c r="G6" s="46">
        <v>0</v>
      </c>
      <c r="H6" s="46">
        <v>0</v>
      </c>
      <c r="I6" s="46" t="s">
        <v>190</v>
      </c>
      <c r="J6" s="46">
        <v>10800</v>
      </c>
      <c r="K6" s="46" t="s">
        <v>181</v>
      </c>
      <c r="L6" s="46" t="s">
        <v>182</v>
      </c>
    </row>
    <row r="7" spans="1:12">
      <c r="A7" s="46">
        <v>94006</v>
      </c>
      <c r="B7" s="46">
        <v>10900</v>
      </c>
      <c r="C7" s="46" t="s">
        <v>191</v>
      </c>
      <c r="D7" s="46">
        <v>1</v>
      </c>
      <c r="E7" s="46">
        <v>500</v>
      </c>
      <c r="F7" s="46">
        <v>1</v>
      </c>
      <c r="G7" s="46">
        <v>0</v>
      </c>
      <c r="H7" s="46">
        <v>0</v>
      </c>
      <c r="I7" s="46" t="s">
        <v>192</v>
      </c>
      <c r="J7" s="46">
        <v>10900</v>
      </c>
      <c r="K7" s="46" t="s">
        <v>181</v>
      </c>
      <c r="L7" s="46" t="s">
        <v>182</v>
      </c>
    </row>
    <row r="8" spans="1:12">
      <c r="A8" s="46">
        <v>94007</v>
      </c>
      <c r="B8" s="46">
        <v>11000</v>
      </c>
      <c r="C8" s="46" t="s">
        <v>193</v>
      </c>
      <c r="D8" s="46">
        <v>2</v>
      </c>
      <c r="E8" s="46">
        <v>10000</v>
      </c>
      <c r="F8" s="46">
        <v>1</v>
      </c>
      <c r="G8" s="46">
        <v>0</v>
      </c>
      <c r="H8" s="46">
        <v>0</v>
      </c>
      <c r="I8" s="46" t="s">
        <v>194</v>
      </c>
      <c r="J8" s="46">
        <v>11000</v>
      </c>
      <c r="K8" s="46" t="s">
        <v>181</v>
      </c>
      <c r="L8" s="46" t="s">
        <v>182</v>
      </c>
    </row>
    <row r="9" spans="1:12">
      <c r="A9" s="46">
        <v>95001</v>
      </c>
      <c r="B9" s="46">
        <v>10100</v>
      </c>
      <c r="C9" s="46" t="s">
        <v>71</v>
      </c>
      <c r="D9" s="46">
        <v>2</v>
      </c>
      <c r="E9" s="46">
        <v>200</v>
      </c>
      <c r="F9" s="46">
        <v>5</v>
      </c>
      <c r="G9" s="46">
        <v>0</v>
      </c>
      <c r="H9" s="46">
        <v>0</v>
      </c>
      <c r="I9" s="46" t="s">
        <v>195</v>
      </c>
      <c r="J9" s="46">
        <v>10100</v>
      </c>
      <c r="K9" s="46" t="s">
        <v>196</v>
      </c>
      <c r="L9" s="46" t="s">
        <v>182</v>
      </c>
    </row>
    <row r="10" spans="1:12">
      <c r="A10" s="46">
        <v>95002</v>
      </c>
      <c r="B10" s="46">
        <v>10200</v>
      </c>
      <c r="C10" s="46" t="s">
        <v>197</v>
      </c>
      <c r="D10" s="46">
        <v>2</v>
      </c>
      <c r="E10" s="46">
        <v>30000</v>
      </c>
      <c r="F10" s="46">
        <v>5</v>
      </c>
      <c r="G10" s="46">
        <v>0</v>
      </c>
      <c r="H10" s="46">
        <v>0</v>
      </c>
      <c r="I10" s="46" t="s">
        <v>198</v>
      </c>
      <c r="J10" s="46">
        <v>10200</v>
      </c>
      <c r="K10" s="46" t="s">
        <v>196</v>
      </c>
      <c r="L10" s="46" t="s">
        <v>182</v>
      </c>
    </row>
    <row r="11" spans="1:12">
      <c r="A11" s="46">
        <v>95003</v>
      </c>
      <c r="B11" s="46">
        <v>10300</v>
      </c>
      <c r="C11" s="46" t="s">
        <v>199</v>
      </c>
      <c r="D11" s="46">
        <v>2</v>
      </c>
      <c r="E11" s="46">
        <v>700</v>
      </c>
      <c r="F11" s="46">
        <v>20</v>
      </c>
      <c r="G11" s="46">
        <v>0</v>
      </c>
      <c r="H11" s="46">
        <v>0</v>
      </c>
      <c r="I11" s="46" t="s">
        <v>200</v>
      </c>
      <c r="J11" s="46">
        <v>10300</v>
      </c>
      <c r="K11" s="46" t="s">
        <v>196</v>
      </c>
      <c r="L11" s="46" t="s">
        <v>182</v>
      </c>
    </row>
    <row r="12" spans="1:12">
      <c r="A12" s="46">
        <v>95005</v>
      </c>
      <c r="B12" s="46">
        <v>11400</v>
      </c>
      <c r="C12" s="46" t="s">
        <v>201</v>
      </c>
      <c r="D12" s="46">
        <v>2</v>
      </c>
      <c r="E12" s="46">
        <v>700</v>
      </c>
      <c r="F12" s="46">
        <v>30</v>
      </c>
      <c r="G12" s="46">
        <v>0</v>
      </c>
      <c r="H12" s="46">
        <v>0</v>
      </c>
      <c r="I12" s="46" t="s">
        <v>202</v>
      </c>
      <c r="J12" s="46">
        <v>11400</v>
      </c>
      <c r="K12" s="46" t="s">
        <v>196</v>
      </c>
      <c r="L12" s="46" t="s">
        <v>182</v>
      </c>
    </row>
    <row r="13" spans="1:12">
      <c r="A13" s="46">
        <v>96001</v>
      </c>
      <c r="B13" s="46">
        <v>15000</v>
      </c>
      <c r="C13" s="46" t="s">
        <v>203</v>
      </c>
      <c r="D13" s="46">
        <v>1</v>
      </c>
      <c r="E13" s="46">
        <v>200</v>
      </c>
      <c r="F13" s="46">
        <v>5</v>
      </c>
      <c r="G13" s="46">
        <v>0</v>
      </c>
      <c r="H13" s="46">
        <v>0</v>
      </c>
      <c r="I13" s="46" t="s">
        <v>204</v>
      </c>
      <c r="J13" s="46">
        <v>15000</v>
      </c>
      <c r="K13" s="46" t="s">
        <v>205</v>
      </c>
      <c r="L13" s="46" t="s">
        <v>182</v>
      </c>
    </row>
    <row r="14" spans="1:12">
      <c r="A14" s="46">
        <v>96002</v>
      </c>
      <c r="B14" s="46">
        <v>15100</v>
      </c>
      <c r="C14" s="46" t="s">
        <v>206</v>
      </c>
      <c r="D14" s="46">
        <v>1</v>
      </c>
      <c r="E14" s="46">
        <v>500</v>
      </c>
      <c r="F14" s="46">
        <v>5</v>
      </c>
      <c r="G14" s="46">
        <v>0</v>
      </c>
      <c r="H14" s="46">
        <v>0</v>
      </c>
      <c r="I14" s="46" t="s">
        <v>207</v>
      </c>
      <c r="J14" s="46">
        <v>15100</v>
      </c>
      <c r="K14" s="46" t="s">
        <v>205</v>
      </c>
      <c r="L14" s="46" t="s">
        <v>182</v>
      </c>
    </row>
    <row r="15" spans="1:12">
      <c r="A15" s="46">
        <v>96003</v>
      </c>
      <c r="B15" s="46">
        <v>15200</v>
      </c>
      <c r="C15" s="46" t="s">
        <v>208</v>
      </c>
      <c r="D15" s="46">
        <v>1</v>
      </c>
      <c r="E15" s="46">
        <v>2000</v>
      </c>
      <c r="F15" s="46">
        <v>5</v>
      </c>
      <c r="G15" s="46">
        <v>0</v>
      </c>
      <c r="H15" s="46">
        <v>0</v>
      </c>
      <c r="I15" s="46" t="s">
        <v>209</v>
      </c>
      <c r="J15" s="46">
        <v>15200</v>
      </c>
      <c r="K15" s="46" t="s">
        <v>205</v>
      </c>
      <c r="L15" s="46" t="s">
        <v>182</v>
      </c>
    </row>
    <row r="16" spans="1:12">
      <c r="A16" s="46">
        <v>96004</v>
      </c>
      <c r="B16" s="46">
        <v>15300</v>
      </c>
      <c r="C16" s="46" t="s">
        <v>210</v>
      </c>
      <c r="D16" s="46">
        <v>1</v>
      </c>
      <c r="E16" s="46">
        <v>5000</v>
      </c>
      <c r="F16" s="46">
        <v>30</v>
      </c>
      <c r="G16" s="46">
        <v>0</v>
      </c>
      <c r="H16" s="46">
        <v>0</v>
      </c>
      <c r="I16" s="46" t="s">
        <v>211</v>
      </c>
      <c r="J16" s="46">
        <v>15300</v>
      </c>
      <c r="K16" s="46" t="s">
        <v>205</v>
      </c>
      <c r="L16" s="46" t="s">
        <v>182</v>
      </c>
    </row>
    <row r="17" spans="1:12">
      <c r="A17" s="46">
        <v>96005</v>
      </c>
      <c r="B17" s="46">
        <v>15400</v>
      </c>
      <c r="C17" s="46" t="s">
        <v>212</v>
      </c>
      <c r="D17" s="46">
        <v>1</v>
      </c>
      <c r="E17" s="46">
        <v>4500</v>
      </c>
      <c r="F17" s="46">
        <v>60</v>
      </c>
      <c r="G17" s="46">
        <v>0</v>
      </c>
      <c r="H17" s="46">
        <v>0</v>
      </c>
      <c r="I17" s="46" t="s">
        <v>213</v>
      </c>
      <c r="J17" s="46">
        <v>15400</v>
      </c>
      <c r="K17" s="46" t="s">
        <v>205</v>
      </c>
      <c r="L17" s="46" t="s">
        <v>182</v>
      </c>
    </row>
    <row r="18" spans="1:12">
      <c r="A18" s="46">
        <v>96006</v>
      </c>
      <c r="B18" s="46">
        <v>15500</v>
      </c>
      <c r="C18" s="46" t="s">
        <v>214</v>
      </c>
      <c r="D18" s="46">
        <v>1</v>
      </c>
      <c r="E18" s="46">
        <v>5000</v>
      </c>
      <c r="F18" s="46">
        <v>480</v>
      </c>
      <c r="G18" s="46">
        <v>0</v>
      </c>
      <c r="H18" s="46">
        <v>0</v>
      </c>
      <c r="I18" s="46" t="s">
        <v>215</v>
      </c>
      <c r="J18" s="46">
        <v>15500</v>
      </c>
      <c r="K18" s="46" t="s">
        <v>205</v>
      </c>
      <c r="L18" s="46" t="s">
        <v>182</v>
      </c>
    </row>
    <row r="19" spans="1:12">
      <c r="A19" s="46">
        <v>96007</v>
      </c>
      <c r="B19" s="46">
        <v>15600</v>
      </c>
      <c r="C19" s="46" t="s">
        <v>216</v>
      </c>
      <c r="D19" s="46">
        <v>1</v>
      </c>
      <c r="E19" s="46">
        <v>100000</v>
      </c>
      <c r="F19" s="46">
        <v>720</v>
      </c>
      <c r="G19" s="46">
        <v>0</v>
      </c>
      <c r="H19" s="46">
        <v>0</v>
      </c>
      <c r="I19" s="46" t="s">
        <v>217</v>
      </c>
      <c r="J19" s="46">
        <v>15600</v>
      </c>
      <c r="K19" s="46" t="s">
        <v>205</v>
      </c>
      <c r="L19" s="46" t="s">
        <v>182</v>
      </c>
    </row>
    <row r="20" spans="1:12">
      <c r="A20" s="46">
        <v>96008</v>
      </c>
      <c r="B20" s="46">
        <v>15700</v>
      </c>
      <c r="C20" s="46" t="s">
        <v>218</v>
      </c>
      <c r="D20" s="46">
        <v>1</v>
      </c>
      <c r="E20" s="46">
        <v>15000</v>
      </c>
      <c r="F20" s="46">
        <v>720</v>
      </c>
      <c r="G20" s="46">
        <v>0</v>
      </c>
      <c r="H20" s="46">
        <v>0</v>
      </c>
      <c r="I20" s="46" t="s">
        <v>219</v>
      </c>
      <c r="J20" s="46">
        <v>15700</v>
      </c>
      <c r="K20" s="46" t="s">
        <v>205</v>
      </c>
      <c r="L20" s="46" t="s">
        <v>182</v>
      </c>
    </row>
    <row r="21" spans="1:12">
      <c r="A21" s="46">
        <v>96009</v>
      </c>
      <c r="B21" s="46">
        <v>15800</v>
      </c>
      <c r="C21" s="46" t="s">
        <v>220</v>
      </c>
      <c r="D21" s="46">
        <v>1</v>
      </c>
      <c r="E21" s="46">
        <v>150000</v>
      </c>
      <c r="F21" s="46">
        <v>1440</v>
      </c>
      <c r="G21" s="46">
        <v>0</v>
      </c>
      <c r="H21" s="46">
        <v>0</v>
      </c>
      <c r="I21" s="46" t="s">
        <v>221</v>
      </c>
      <c r="J21" s="46">
        <v>15800</v>
      </c>
      <c r="K21" s="46" t="s">
        <v>205</v>
      </c>
      <c r="L21" s="46" t="s">
        <v>182</v>
      </c>
    </row>
    <row r="22" spans="1:12">
      <c r="A22" s="46">
        <v>96010</v>
      </c>
      <c r="B22" s="46">
        <v>15900</v>
      </c>
      <c r="C22" s="46" t="s">
        <v>222</v>
      </c>
      <c r="D22" s="46">
        <v>1</v>
      </c>
      <c r="E22" s="46">
        <v>200000</v>
      </c>
      <c r="F22" s="46">
        <v>2880</v>
      </c>
      <c r="G22" s="46">
        <v>0</v>
      </c>
      <c r="H22" s="46">
        <v>0</v>
      </c>
      <c r="I22" s="46" t="s">
        <v>223</v>
      </c>
      <c r="J22" s="46">
        <v>15900</v>
      </c>
      <c r="K22" s="46" t="s">
        <v>205</v>
      </c>
      <c r="L22" s="46" t="s">
        <v>182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10"/>
  <sheetViews>
    <sheetView workbookViewId="0">
      <selection activeCell="B1" sqref="B1"/>
    </sheetView>
  </sheetViews>
  <sheetFormatPr defaultRowHeight="16.5"/>
  <cols>
    <col min="1" max="1" width="13.125" customWidth="1"/>
    <col min="2" max="2" width="19.5" bestFit="1" customWidth="1"/>
    <col min="4" max="4" width="13.625" bestFit="1" customWidth="1"/>
    <col min="5" max="5" width="14.75" bestFit="1" customWidth="1"/>
  </cols>
  <sheetData>
    <row r="1" spans="1:5">
      <c r="A1" s="38" t="s">
        <v>224</v>
      </c>
      <c r="B1" s="38" t="s">
        <v>1162</v>
      </c>
      <c r="C1" s="38" t="s">
        <v>226</v>
      </c>
      <c r="D1" s="38" t="s">
        <v>227</v>
      </c>
      <c r="E1" s="38" t="s">
        <v>228</v>
      </c>
    </row>
    <row r="2" spans="1:5">
      <c r="A2" s="46">
        <v>92001</v>
      </c>
      <c r="B2" s="46" t="s">
        <v>229</v>
      </c>
      <c r="C2" s="46">
        <v>1</v>
      </c>
      <c r="D2" s="46">
        <v>20</v>
      </c>
      <c r="E2" s="46">
        <v>60</v>
      </c>
    </row>
    <row r="3" spans="1:5">
      <c r="A3" s="46">
        <v>92002</v>
      </c>
      <c r="B3" s="46" t="s">
        <v>230</v>
      </c>
      <c r="C3" s="46">
        <v>1</v>
      </c>
      <c r="D3" s="46">
        <v>50</v>
      </c>
      <c r="E3" s="46">
        <v>80</v>
      </c>
    </row>
    <row r="4" spans="1:5">
      <c r="A4" s="46">
        <v>92003</v>
      </c>
      <c r="B4" s="46" t="s">
        <v>231</v>
      </c>
      <c r="C4" s="46">
        <v>1</v>
      </c>
      <c r="D4" s="46">
        <v>100</v>
      </c>
      <c r="E4" s="46">
        <v>100</v>
      </c>
    </row>
    <row r="5" spans="1:5">
      <c r="A5" s="46">
        <v>92004</v>
      </c>
      <c r="B5" s="46" t="s">
        <v>232</v>
      </c>
      <c r="C5" s="46">
        <v>2</v>
      </c>
      <c r="D5" s="46">
        <v>20</v>
      </c>
      <c r="E5" s="46">
        <v>60</v>
      </c>
    </row>
    <row r="6" spans="1:5">
      <c r="A6" s="46">
        <v>92005</v>
      </c>
      <c r="B6" s="46" t="s">
        <v>233</v>
      </c>
      <c r="C6" s="46">
        <v>2</v>
      </c>
      <c r="D6" s="46">
        <v>50</v>
      </c>
      <c r="E6" s="46">
        <v>80</v>
      </c>
    </row>
    <row r="7" spans="1:5">
      <c r="A7" s="46">
        <v>92006</v>
      </c>
      <c r="B7" s="46" t="s">
        <v>234</v>
      </c>
      <c r="C7" s="46">
        <v>2</v>
      </c>
      <c r="D7" s="46">
        <v>100</v>
      </c>
      <c r="E7" s="46">
        <v>100</v>
      </c>
    </row>
    <row r="8" spans="1:5">
      <c r="A8" s="46">
        <v>92007</v>
      </c>
      <c r="B8" s="46" t="s">
        <v>235</v>
      </c>
      <c r="C8" s="46">
        <v>3</v>
      </c>
      <c r="D8" s="46">
        <v>20</v>
      </c>
      <c r="E8" s="46">
        <v>60</v>
      </c>
    </row>
    <row r="9" spans="1:5">
      <c r="A9" s="46">
        <v>92008</v>
      </c>
      <c r="B9" s="46" t="s">
        <v>236</v>
      </c>
      <c r="C9" s="46">
        <v>3</v>
      </c>
      <c r="D9" s="46">
        <v>50</v>
      </c>
      <c r="E9" s="46">
        <v>80</v>
      </c>
    </row>
    <row r="10" spans="1:5">
      <c r="A10" s="46">
        <v>92009</v>
      </c>
      <c r="B10" s="46" t="s">
        <v>237</v>
      </c>
      <c r="C10" s="46">
        <v>3</v>
      </c>
      <c r="D10" s="46">
        <v>100</v>
      </c>
      <c r="E10" s="46">
        <v>100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D4"/>
  <sheetViews>
    <sheetView workbookViewId="0">
      <selection activeCell="B1" sqref="B1"/>
    </sheetView>
  </sheetViews>
  <sheetFormatPr defaultRowHeight="16.5"/>
  <cols>
    <col min="1" max="1" width="8.25" bestFit="1" customWidth="1"/>
    <col min="2" max="2" width="19.125" bestFit="1" customWidth="1"/>
    <col min="3" max="3" width="6.25" bestFit="1" customWidth="1"/>
    <col min="4" max="4" width="19.25" bestFit="1" customWidth="1"/>
  </cols>
  <sheetData>
    <row r="1" spans="1:4">
      <c r="A1" s="38" t="s">
        <v>170</v>
      </c>
      <c r="B1" s="38" t="s">
        <v>1162</v>
      </c>
      <c r="C1" s="38" t="s">
        <v>239</v>
      </c>
      <c r="D1" s="38" t="s">
        <v>240</v>
      </c>
    </row>
    <row r="2" spans="1:4">
      <c r="A2" s="46">
        <v>91001</v>
      </c>
      <c r="B2" s="46" t="s">
        <v>241</v>
      </c>
      <c r="C2" s="46">
        <v>80</v>
      </c>
      <c r="D2" s="46" t="s">
        <v>242</v>
      </c>
    </row>
    <row r="3" spans="1:4">
      <c r="A3" s="46">
        <v>91002</v>
      </c>
      <c r="B3" s="46" t="s">
        <v>243</v>
      </c>
      <c r="C3" s="46">
        <v>500</v>
      </c>
      <c r="D3" s="46" t="s">
        <v>244</v>
      </c>
    </row>
    <row r="4" spans="1:4">
      <c r="A4" s="46">
        <v>91003</v>
      </c>
      <c r="B4" s="46" t="s">
        <v>245</v>
      </c>
      <c r="C4" s="46">
        <v>1000</v>
      </c>
      <c r="D4" s="46" t="s">
        <v>246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30"/>
  <sheetViews>
    <sheetView workbookViewId="0">
      <selection activeCell="C1" sqref="C1"/>
    </sheetView>
  </sheetViews>
  <sheetFormatPr defaultRowHeight="16.5"/>
  <cols>
    <col min="1" max="1" width="11.125" bestFit="1" customWidth="1"/>
    <col min="2" max="2" width="12.25" bestFit="1" customWidth="1"/>
    <col min="3" max="3" width="19.5" bestFit="1" customWidth="1"/>
    <col min="4" max="4" width="10.875" bestFit="1" customWidth="1"/>
    <col min="6" max="6" width="10.375" bestFit="1" customWidth="1"/>
    <col min="7" max="7" width="11" bestFit="1" customWidth="1"/>
    <col min="8" max="8" width="12.875" bestFit="1" customWidth="1"/>
  </cols>
  <sheetData>
    <row r="1" spans="1:8">
      <c r="A1" s="38" t="s">
        <v>247</v>
      </c>
      <c r="B1" s="38" t="s">
        <v>248</v>
      </c>
      <c r="C1" s="38" t="s">
        <v>1162</v>
      </c>
      <c r="D1" s="38" t="s">
        <v>249</v>
      </c>
      <c r="E1" s="38" t="s">
        <v>262</v>
      </c>
      <c r="F1" s="38" t="s">
        <v>250</v>
      </c>
      <c r="G1" s="38" t="s">
        <v>251</v>
      </c>
      <c r="H1" s="38" t="s">
        <v>252</v>
      </c>
    </row>
    <row r="2" spans="1:8">
      <c r="A2" s="46">
        <v>10501</v>
      </c>
      <c r="B2" s="46">
        <v>10500</v>
      </c>
      <c r="C2" s="46" t="s">
        <v>253</v>
      </c>
      <c r="D2" s="46">
        <v>24</v>
      </c>
      <c r="E2" s="46" t="s">
        <v>254</v>
      </c>
      <c r="F2" s="46">
        <v>1</v>
      </c>
      <c r="G2" s="46">
        <v>2</v>
      </c>
      <c r="H2" s="46">
        <v>3</v>
      </c>
    </row>
    <row r="3" spans="1:8">
      <c r="A3" s="46">
        <v>10502</v>
      </c>
      <c r="B3" s="46">
        <v>10500</v>
      </c>
      <c r="C3" s="46" t="s">
        <v>253</v>
      </c>
      <c r="D3" s="46">
        <v>24</v>
      </c>
      <c r="E3" s="46" t="s">
        <v>254</v>
      </c>
      <c r="F3" s="46">
        <v>3</v>
      </c>
      <c r="G3" s="46">
        <v>2</v>
      </c>
      <c r="H3" s="46">
        <v>3</v>
      </c>
    </row>
    <row r="4" spans="1:8">
      <c r="A4" s="46">
        <v>10503</v>
      </c>
      <c r="B4" s="46">
        <v>10500</v>
      </c>
      <c r="C4" s="46" t="s">
        <v>253</v>
      </c>
      <c r="D4" s="46">
        <v>24</v>
      </c>
      <c r="E4" s="46" t="s">
        <v>254</v>
      </c>
      <c r="F4" s="46">
        <v>5</v>
      </c>
      <c r="G4" s="46">
        <v>2</v>
      </c>
      <c r="H4" s="46">
        <v>3</v>
      </c>
    </row>
    <row r="5" spans="1:8">
      <c r="A5" s="46">
        <v>10504</v>
      </c>
      <c r="B5" s="46">
        <v>10500</v>
      </c>
      <c r="C5" s="46" t="s">
        <v>253</v>
      </c>
      <c r="D5" s="46">
        <v>24</v>
      </c>
      <c r="E5" s="46" t="s">
        <v>254</v>
      </c>
      <c r="F5" s="46">
        <v>7</v>
      </c>
      <c r="G5" s="46">
        <v>2</v>
      </c>
      <c r="H5" s="46">
        <v>3</v>
      </c>
    </row>
    <row r="6" spans="1:8">
      <c r="A6" s="46">
        <v>10505</v>
      </c>
      <c r="B6" s="46">
        <v>10500</v>
      </c>
      <c r="C6" s="46" t="s">
        <v>253</v>
      </c>
      <c r="D6" s="46">
        <v>24</v>
      </c>
      <c r="E6" s="46" t="s">
        <v>254</v>
      </c>
      <c r="F6" s="46">
        <v>9</v>
      </c>
      <c r="G6" s="46">
        <v>2</v>
      </c>
      <c r="H6" s="46">
        <v>3</v>
      </c>
    </row>
    <row r="7" spans="1:8">
      <c r="A7" s="46">
        <v>10506</v>
      </c>
      <c r="B7" s="46">
        <v>10500</v>
      </c>
      <c r="C7" s="46" t="s">
        <v>253</v>
      </c>
      <c r="D7" s="46">
        <v>24</v>
      </c>
      <c r="E7" s="46" t="s">
        <v>254</v>
      </c>
      <c r="F7" s="46">
        <v>11</v>
      </c>
      <c r="G7" s="46">
        <v>2</v>
      </c>
      <c r="H7" s="46">
        <v>3</v>
      </c>
    </row>
    <row r="8" spans="1:8">
      <c r="A8" s="46">
        <v>10507</v>
      </c>
      <c r="B8" s="46">
        <v>10500</v>
      </c>
      <c r="C8" s="46" t="s">
        <v>253</v>
      </c>
      <c r="D8" s="46">
        <v>24</v>
      </c>
      <c r="E8" s="46" t="s">
        <v>254</v>
      </c>
      <c r="F8" s="46">
        <v>13</v>
      </c>
      <c r="G8" s="46">
        <v>2</v>
      </c>
      <c r="H8" s="46">
        <v>3</v>
      </c>
    </row>
    <row r="9" spans="1:8">
      <c r="A9" s="46">
        <v>10508</v>
      </c>
      <c r="B9" s="46">
        <v>10500</v>
      </c>
      <c r="C9" s="46" t="s">
        <v>253</v>
      </c>
      <c r="D9" s="46">
        <v>24</v>
      </c>
      <c r="E9" s="46" t="s">
        <v>254</v>
      </c>
      <c r="F9" s="46">
        <v>15</v>
      </c>
      <c r="G9" s="46">
        <v>2</v>
      </c>
      <c r="H9" s="46">
        <v>3</v>
      </c>
    </row>
    <row r="10" spans="1:8">
      <c r="A10" s="46">
        <v>10601</v>
      </c>
      <c r="B10" s="46">
        <v>10600</v>
      </c>
      <c r="C10" s="46" t="s">
        <v>255</v>
      </c>
      <c r="D10" s="46">
        <v>24</v>
      </c>
      <c r="E10" s="46" t="s">
        <v>254</v>
      </c>
      <c r="F10" s="46">
        <v>1</v>
      </c>
      <c r="G10" s="46">
        <v>2</v>
      </c>
      <c r="H10" s="46">
        <v>3</v>
      </c>
    </row>
    <row r="11" spans="1:8">
      <c r="A11" s="46">
        <v>10602</v>
      </c>
      <c r="B11" s="46">
        <v>10600</v>
      </c>
      <c r="C11" s="46" t="s">
        <v>255</v>
      </c>
      <c r="D11" s="46">
        <v>24</v>
      </c>
      <c r="E11" s="46" t="s">
        <v>254</v>
      </c>
      <c r="F11" s="46">
        <v>3</v>
      </c>
      <c r="G11" s="46">
        <v>2</v>
      </c>
      <c r="H11" s="46">
        <v>3</v>
      </c>
    </row>
    <row r="12" spans="1:8">
      <c r="A12" s="46">
        <v>10603</v>
      </c>
      <c r="B12" s="46">
        <v>10600</v>
      </c>
      <c r="C12" s="46" t="s">
        <v>255</v>
      </c>
      <c r="D12" s="46">
        <v>24</v>
      </c>
      <c r="E12" s="46" t="s">
        <v>254</v>
      </c>
      <c r="F12" s="46">
        <v>5</v>
      </c>
      <c r="G12" s="46">
        <v>2</v>
      </c>
      <c r="H12" s="46">
        <v>3</v>
      </c>
    </row>
    <row r="13" spans="1:8">
      <c r="A13" s="46">
        <v>10604</v>
      </c>
      <c r="B13" s="46">
        <v>10600</v>
      </c>
      <c r="C13" s="46" t="s">
        <v>255</v>
      </c>
      <c r="D13" s="46">
        <v>24</v>
      </c>
      <c r="E13" s="46" t="s">
        <v>254</v>
      </c>
      <c r="F13" s="46">
        <v>7</v>
      </c>
      <c r="G13" s="46">
        <v>2</v>
      </c>
      <c r="H13" s="46">
        <v>3</v>
      </c>
    </row>
    <row r="14" spans="1:8">
      <c r="A14" s="46">
        <v>10605</v>
      </c>
      <c r="B14" s="46">
        <v>10600</v>
      </c>
      <c r="C14" s="46" t="s">
        <v>255</v>
      </c>
      <c r="D14" s="46">
        <v>24</v>
      </c>
      <c r="E14" s="46" t="s">
        <v>254</v>
      </c>
      <c r="F14" s="46">
        <v>9</v>
      </c>
      <c r="G14" s="46">
        <v>2</v>
      </c>
      <c r="H14" s="46">
        <v>3</v>
      </c>
    </row>
    <row r="15" spans="1:8">
      <c r="A15" s="46">
        <v>10606</v>
      </c>
      <c r="B15" s="46">
        <v>10600</v>
      </c>
      <c r="C15" s="46" t="s">
        <v>255</v>
      </c>
      <c r="D15" s="46">
        <v>24</v>
      </c>
      <c r="E15" s="46" t="s">
        <v>254</v>
      </c>
      <c r="F15" s="46">
        <v>11</v>
      </c>
      <c r="G15" s="46">
        <v>2</v>
      </c>
      <c r="H15" s="46">
        <v>3</v>
      </c>
    </row>
    <row r="16" spans="1:8">
      <c r="A16" s="46">
        <v>10607</v>
      </c>
      <c r="B16" s="46">
        <v>10600</v>
      </c>
      <c r="C16" s="46" t="s">
        <v>255</v>
      </c>
      <c r="D16" s="46">
        <v>24</v>
      </c>
      <c r="E16" s="46" t="s">
        <v>254</v>
      </c>
      <c r="F16" s="46">
        <v>13</v>
      </c>
      <c r="G16" s="46">
        <v>2</v>
      </c>
      <c r="H16" s="46">
        <v>3</v>
      </c>
    </row>
    <row r="17" spans="1:8">
      <c r="A17" s="46">
        <v>10608</v>
      </c>
      <c r="B17" s="46">
        <v>10600</v>
      </c>
      <c r="C17" s="46" t="s">
        <v>255</v>
      </c>
      <c r="D17" s="46">
        <v>24</v>
      </c>
      <c r="E17" s="46" t="s">
        <v>254</v>
      </c>
      <c r="F17" s="46">
        <v>15</v>
      </c>
      <c r="G17" s="46">
        <v>2</v>
      </c>
      <c r="H17" s="46">
        <v>3</v>
      </c>
    </row>
    <row r="18" spans="1:8">
      <c r="A18" s="46">
        <v>10701</v>
      </c>
      <c r="B18" s="46">
        <v>10700</v>
      </c>
      <c r="C18" s="46" t="s">
        <v>256</v>
      </c>
      <c r="D18" s="46">
        <v>24</v>
      </c>
      <c r="E18" s="46" t="s">
        <v>254</v>
      </c>
      <c r="F18" s="46">
        <v>10</v>
      </c>
      <c r="G18" s="46">
        <v>2</v>
      </c>
      <c r="H18" s="46">
        <v>3</v>
      </c>
    </row>
    <row r="19" spans="1:8">
      <c r="A19" s="46">
        <v>10702</v>
      </c>
      <c r="B19" s="46">
        <v>10700</v>
      </c>
      <c r="C19" s="46" t="s">
        <v>256</v>
      </c>
      <c r="D19" s="46">
        <v>24</v>
      </c>
      <c r="E19" s="46" t="s">
        <v>254</v>
      </c>
      <c r="F19" s="46">
        <v>20</v>
      </c>
      <c r="G19" s="46">
        <v>2</v>
      </c>
      <c r="H19" s="46">
        <v>3</v>
      </c>
    </row>
    <row r="20" spans="1:8">
      <c r="A20" s="46">
        <v>10703</v>
      </c>
      <c r="B20" s="46">
        <v>10700</v>
      </c>
      <c r="C20" s="46" t="s">
        <v>256</v>
      </c>
      <c r="D20" s="46">
        <v>24</v>
      </c>
      <c r="E20" s="46" t="s">
        <v>254</v>
      </c>
      <c r="F20" s="46">
        <v>30</v>
      </c>
      <c r="G20" s="46">
        <v>2</v>
      </c>
      <c r="H20" s="46">
        <v>3</v>
      </c>
    </row>
    <row r="21" spans="1:8">
      <c r="A21" s="46">
        <v>10704</v>
      </c>
      <c r="B21" s="46">
        <v>10700</v>
      </c>
      <c r="C21" s="46" t="s">
        <v>256</v>
      </c>
      <c r="D21" s="46">
        <v>24</v>
      </c>
      <c r="E21" s="46" t="s">
        <v>254</v>
      </c>
      <c r="F21" s="46">
        <v>40</v>
      </c>
      <c r="G21" s="46">
        <v>2</v>
      </c>
      <c r="H21" s="46">
        <v>3</v>
      </c>
    </row>
    <row r="22" spans="1:8">
      <c r="A22" s="46">
        <v>10101</v>
      </c>
      <c r="B22" s="46">
        <v>10100</v>
      </c>
      <c r="C22" s="46" t="s">
        <v>257</v>
      </c>
      <c r="D22" s="46">
        <v>24</v>
      </c>
      <c r="E22" s="46" t="s">
        <v>254</v>
      </c>
      <c r="F22" s="46">
        <v>30</v>
      </c>
      <c r="G22" s="46">
        <v>4</v>
      </c>
      <c r="H22" s="46">
        <v>1</v>
      </c>
    </row>
    <row r="23" spans="1:8">
      <c r="A23" s="46">
        <v>10102</v>
      </c>
      <c r="B23" s="46">
        <v>10100</v>
      </c>
      <c r="C23" s="46" t="s">
        <v>257</v>
      </c>
      <c r="D23" s="46">
        <v>24</v>
      </c>
      <c r="E23" s="46" t="s">
        <v>254</v>
      </c>
      <c r="F23" s="46">
        <v>30</v>
      </c>
      <c r="G23" s="46">
        <v>4</v>
      </c>
      <c r="H23" s="46">
        <v>1</v>
      </c>
    </row>
    <row r="24" spans="1:8">
      <c r="A24" s="46">
        <v>10103</v>
      </c>
      <c r="B24" s="46">
        <v>10100</v>
      </c>
      <c r="C24" s="46" t="s">
        <v>257</v>
      </c>
      <c r="D24" s="46">
        <v>24</v>
      </c>
      <c r="E24" s="46" t="s">
        <v>254</v>
      </c>
      <c r="F24" s="46">
        <v>30</v>
      </c>
      <c r="G24" s="46">
        <v>4</v>
      </c>
      <c r="H24" s="46">
        <v>1</v>
      </c>
    </row>
    <row r="25" spans="1:8">
      <c r="A25" s="46">
        <v>10104</v>
      </c>
      <c r="B25" s="46">
        <v>10100</v>
      </c>
      <c r="C25" s="46" t="s">
        <v>257</v>
      </c>
      <c r="D25" s="46">
        <v>24</v>
      </c>
      <c r="E25" s="46" t="s">
        <v>254</v>
      </c>
      <c r="F25" s="46">
        <v>30</v>
      </c>
      <c r="G25" s="46">
        <v>4</v>
      </c>
      <c r="H25" s="46">
        <v>1</v>
      </c>
    </row>
    <row r="26" spans="1:8">
      <c r="A26" s="46">
        <v>10105</v>
      </c>
      <c r="B26" s="46">
        <v>10100</v>
      </c>
      <c r="C26" s="46" t="s">
        <v>257</v>
      </c>
      <c r="D26" s="46">
        <v>24</v>
      </c>
      <c r="E26" s="46" t="s">
        <v>254</v>
      </c>
      <c r="F26" s="46">
        <v>30</v>
      </c>
      <c r="G26" s="46">
        <v>4</v>
      </c>
      <c r="H26" s="46">
        <v>1</v>
      </c>
    </row>
    <row r="27" spans="1:8">
      <c r="A27" s="46">
        <v>10106</v>
      </c>
      <c r="B27" s="46">
        <v>10100</v>
      </c>
      <c r="C27" s="46" t="s">
        <v>257</v>
      </c>
      <c r="D27" s="46">
        <v>24</v>
      </c>
      <c r="E27" s="46" t="s">
        <v>254</v>
      </c>
      <c r="F27" s="46">
        <v>30</v>
      </c>
      <c r="G27" s="46">
        <v>4</v>
      </c>
      <c r="H27" s="46">
        <v>1</v>
      </c>
    </row>
    <row r="28" spans="1:8">
      <c r="A28" s="46">
        <v>10107</v>
      </c>
      <c r="B28" s="46">
        <v>10100</v>
      </c>
      <c r="C28" s="46" t="s">
        <v>257</v>
      </c>
      <c r="D28" s="46">
        <v>1</v>
      </c>
      <c r="E28" s="46" t="s">
        <v>254</v>
      </c>
      <c r="F28" s="46">
        <v>30</v>
      </c>
      <c r="G28" s="46">
        <v>4</v>
      </c>
      <c r="H28" s="46">
        <v>1</v>
      </c>
    </row>
    <row r="29" spans="1:8">
      <c r="A29" s="46">
        <v>10108</v>
      </c>
      <c r="B29" s="46">
        <v>10100</v>
      </c>
      <c r="C29" s="46" t="s">
        <v>257</v>
      </c>
      <c r="D29" s="46">
        <v>1</v>
      </c>
      <c r="E29" s="46" t="s">
        <v>254</v>
      </c>
      <c r="F29" s="46">
        <v>30</v>
      </c>
      <c r="G29" s="46">
        <v>4</v>
      </c>
      <c r="H29" s="46">
        <v>1</v>
      </c>
    </row>
    <row r="30" spans="1:8">
      <c r="A30" s="46">
        <v>10201</v>
      </c>
      <c r="B30" s="46">
        <v>10200</v>
      </c>
      <c r="C30" s="46" t="s">
        <v>258</v>
      </c>
      <c r="D30" s="46">
        <v>1</v>
      </c>
      <c r="E30" s="46" t="s">
        <v>254</v>
      </c>
      <c r="F30" s="46">
        <v>30</v>
      </c>
      <c r="G30" s="46">
        <v>4</v>
      </c>
      <c r="H30" s="46">
        <v>5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10"/>
  <sheetViews>
    <sheetView workbookViewId="0">
      <selection activeCell="B1" sqref="B1"/>
    </sheetView>
  </sheetViews>
  <sheetFormatPr defaultRowHeight="16.5"/>
  <cols>
    <col min="1" max="1" width="11.125" bestFit="1" customWidth="1"/>
    <col min="2" max="2" width="15.875" bestFit="1" customWidth="1"/>
    <col min="3" max="3" width="9.875" bestFit="1" customWidth="1"/>
    <col min="4" max="4" width="10.875" bestFit="1" customWidth="1"/>
    <col min="5" max="5" width="9.625" bestFit="1" customWidth="1"/>
    <col min="6" max="6" width="10.375" bestFit="1" customWidth="1"/>
    <col min="7" max="7" width="11" bestFit="1" customWidth="1"/>
    <col min="8" max="8" width="11.75" bestFit="1" customWidth="1"/>
  </cols>
  <sheetData>
    <row r="1" spans="1:8">
      <c r="A1" s="38" t="s">
        <v>259</v>
      </c>
      <c r="B1" s="38" t="s">
        <v>1162</v>
      </c>
      <c r="C1" s="38" t="s">
        <v>260</v>
      </c>
      <c r="D1" s="38" t="s">
        <v>261</v>
      </c>
      <c r="E1" s="38" t="s">
        <v>262</v>
      </c>
      <c r="F1" s="38" t="s">
        <v>263</v>
      </c>
      <c r="G1" s="38" t="s">
        <v>264</v>
      </c>
      <c r="H1" s="38" t="s">
        <v>265</v>
      </c>
    </row>
    <row r="2" spans="1:8">
      <c r="A2" s="46">
        <v>9999</v>
      </c>
      <c r="B2" s="46" t="s">
        <v>266</v>
      </c>
      <c r="C2" s="46">
        <v>1</v>
      </c>
      <c r="D2" s="46">
        <v>0</v>
      </c>
      <c r="E2" s="46">
        <v>0</v>
      </c>
      <c r="F2" s="46">
        <v>0</v>
      </c>
      <c r="G2" s="46">
        <v>0</v>
      </c>
      <c r="H2" s="46">
        <v>0</v>
      </c>
    </row>
    <row r="3" spans="1:8">
      <c r="A3" s="46">
        <v>9999</v>
      </c>
      <c r="B3" s="46" t="s">
        <v>266</v>
      </c>
      <c r="C3" s="46">
        <v>2</v>
      </c>
      <c r="D3" s="46">
        <v>0</v>
      </c>
      <c r="E3" s="46">
        <v>0</v>
      </c>
      <c r="F3" s="46">
        <v>0</v>
      </c>
      <c r="G3" s="46">
        <v>0</v>
      </c>
      <c r="H3" s="46">
        <v>0</v>
      </c>
    </row>
    <row r="4" spans="1:8">
      <c r="A4" s="46">
        <v>9999</v>
      </c>
      <c r="B4" s="46" t="s">
        <v>266</v>
      </c>
      <c r="C4" s="46">
        <v>3</v>
      </c>
      <c r="D4" s="46">
        <v>0</v>
      </c>
      <c r="E4" s="46">
        <v>0</v>
      </c>
      <c r="F4" s="46">
        <v>0</v>
      </c>
      <c r="G4" s="46">
        <v>0</v>
      </c>
      <c r="H4" s="46">
        <v>0</v>
      </c>
    </row>
    <row r="5" spans="1:8">
      <c r="A5" s="46">
        <v>9999</v>
      </c>
      <c r="B5" s="46" t="s">
        <v>266</v>
      </c>
      <c r="C5" s="46">
        <v>4</v>
      </c>
      <c r="D5" s="46">
        <v>24</v>
      </c>
      <c r="E5" s="46" t="s">
        <v>267</v>
      </c>
      <c r="F5" s="46">
        <v>300</v>
      </c>
      <c r="G5" s="46">
        <v>1.5</v>
      </c>
      <c r="H5" s="46">
        <v>1</v>
      </c>
    </row>
    <row r="6" spans="1:8">
      <c r="A6" s="46">
        <v>9999</v>
      </c>
      <c r="B6" s="46" t="s">
        <v>266</v>
      </c>
      <c r="C6" s="46">
        <v>5</v>
      </c>
      <c r="D6" s="46">
        <v>24</v>
      </c>
      <c r="E6" s="46" t="s">
        <v>267</v>
      </c>
      <c r="F6" s="46">
        <v>400</v>
      </c>
      <c r="G6" s="46">
        <v>1.6</v>
      </c>
      <c r="H6" s="46">
        <v>1</v>
      </c>
    </row>
    <row r="7" spans="1:8">
      <c r="A7" s="46">
        <v>9999</v>
      </c>
      <c r="B7" s="46" t="s">
        <v>266</v>
      </c>
      <c r="C7" s="46">
        <v>6</v>
      </c>
      <c r="D7" s="46">
        <v>24</v>
      </c>
      <c r="E7" s="46" t="s">
        <v>267</v>
      </c>
      <c r="F7" s="46">
        <v>500</v>
      </c>
      <c r="G7" s="46">
        <v>1.7</v>
      </c>
      <c r="H7" s="46">
        <v>1</v>
      </c>
    </row>
    <row r="8" spans="1:8">
      <c r="A8" s="46">
        <v>9999</v>
      </c>
      <c r="B8" s="46" t="s">
        <v>266</v>
      </c>
      <c r="C8" s="46">
        <v>7</v>
      </c>
      <c r="D8" s="46">
        <v>24</v>
      </c>
      <c r="E8" s="46" t="s">
        <v>267</v>
      </c>
      <c r="F8" s="46">
        <v>600</v>
      </c>
      <c r="G8" s="46">
        <v>1.8</v>
      </c>
      <c r="H8" s="46">
        <v>1</v>
      </c>
    </row>
    <row r="9" spans="1:8">
      <c r="A9" s="46">
        <v>9999</v>
      </c>
      <c r="B9" s="46" t="s">
        <v>266</v>
      </c>
      <c r="C9" s="46">
        <v>8</v>
      </c>
      <c r="D9" s="46">
        <v>24</v>
      </c>
      <c r="E9" s="46" t="s">
        <v>267</v>
      </c>
      <c r="F9" s="46">
        <v>700</v>
      </c>
      <c r="G9" s="46">
        <v>1.9</v>
      </c>
      <c r="H9" s="46">
        <v>1</v>
      </c>
    </row>
    <row r="10" spans="1:8">
      <c r="A10" s="46">
        <v>9999</v>
      </c>
      <c r="B10" s="46" t="s">
        <v>266</v>
      </c>
      <c r="C10" s="46">
        <v>9</v>
      </c>
      <c r="D10" s="46">
        <v>24</v>
      </c>
      <c r="E10" s="46" t="s">
        <v>267</v>
      </c>
      <c r="F10" s="46">
        <v>800</v>
      </c>
      <c r="G10" s="46">
        <v>2</v>
      </c>
      <c r="H10" s="46">
        <v>1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6"/>
  <sheetViews>
    <sheetView workbookViewId="0">
      <selection sqref="A1:C6"/>
    </sheetView>
  </sheetViews>
  <sheetFormatPr defaultRowHeight="16.5"/>
  <cols>
    <col min="1" max="1" width="10.125" bestFit="1" customWidth="1"/>
    <col min="2" max="2" width="21.5" bestFit="1" customWidth="1"/>
    <col min="3" max="3" width="20.625" bestFit="1" customWidth="1"/>
  </cols>
  <sheetData>
    <row r="1" spans="1:3">
      <c r="A1" s="38" t="s">
        <v>268</v>
      </c>
      <c r="B1" s="38" t="s">
        <v>269</v>
      </c>
      <c r="C1" s="38" t="s">
        <v>270</v>
      </c>
    </row>
    <row r="2" spans="1:3">
      <c r="A2" s="46">
        <v>0</v>
      </c>
      <c r="B2" s="46">
        <v>2000</v>
      </c>
      <c r="C2" s="46">
        <v>100</v>
      </c>
    </row>
    <row r="3" spans="1:3">
      <c r="A3" s="46">
        <v>1</v>
      </c>
      <c r="B3" s="46">
        <v>1000</v>
      </c>
      <c r="C3" s="46">
        <v>300</v>
      </c>
    </row>
    <row r="4" spans="1:3">
      <c r="A4" s="46">
        <v>2</v>
      </c>
      <c r="B4" s="46">
        <v>300</v>
      </c>
      <c r="C4" s="46">
        <v>3000</v>
      </c>
    </row>
    <row r="5" spans="1:3">
      <c r="A5" s="46">
        <v>3</v>
      </c>
      <c r="B5" s="46">
        <v>100</v>
      </c>
      <c r="C5" s="46">
        <v>6000</v>
      </c>
    </row>
    <row r="6" spans="1:3">
      <c r="A6" s="46">
        <v>4</v>
      </c>
      <c r="B6" s="46">
        <v>5</v>
      </c>
      <c r="C6" s="46">
        <v>10000</v>
      </c>
    </row>
  </sheetData>
  <phoneticPr fontId="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146"/>
  <sheetViews>
    <sheetView topLeftCell="O1" workbookViewId="0">
      <selection activeCell="AE1" sqref="AE1"/>
    </sheetView>
  </sheetViews>
  <sheetFormatPr defaultRowHeight="16.5" customHeight="1"/>
  <cols>
    <col min="2" max="2" width="14.25" bestFit="1" customWidth="1"/>
    <col min="5" max="5" width="10.5" bestFit="1" customWidth="1"/>
    <col min="6" max="6" width="16.375" bestFit="1" customWidth="1"/>
    <col min="7" max="7" width="13.5" bestFit="1" customWidth="1"/>
    <col min="8" max="8" width="14.25" bestFit="1" customWidth="1"/>
    <col min="9" max="9" width="15.625" bestFit="1" customWidth="1"/>
    <col min="11" max="11" width="11.5" bestFit="1" customWidth="1"/>
    <col min="12" max="12" width="10.5" bestFit="1" customWidth="1"/>
    <col min="14" max="14" width="16.25" bestFit="1" customWidth="1"/>
    <col min="15" max="15" width="12.75" bestFit="1" customWidth="1"/>
    <col min="16" max="16" width="15.125" bestFit="1" customWidth="1"/>
    <col min="17" max="17" width="19.125" bestFit="1" customWidth="1"/>
    <col min="19" max="19" width="12.25" bestFit="1" customWidth="1"/>
    <col min="20" max="20" width="13.375" bestFit="1" customWidth="1"/>
    <col min="23" max="23" width="12.5" bestFit="1" customWidth="1"/>
    <col min="24" max="24" width="11.125" bestFit="1" customWidth="1"/>
    <col min="26" max="26" width="13.625" bestFit="1" customWidth="1"/>
    <col min="27" max="27" width="12.625" bestFit="1" customWidth="1"/>
    <col min="28" max="28" width="12.875" bestFit="1" customWidth="1"/>
    <col min="30" max="30" width="18.375" bestFit="1" customWidth="1"/>
    <col min="31" max="31" width="20.5" bestFit="1" customWidth="1"/>
  </cols>
  <sheetData>
    <row r="1" spans="1:31" s="33" customFormat="1" ht="16.5" customHeight="1">
      <c r="A1" s="34" t="s">
        <v>14</v>
      </c>
      <c r="B1" s="34" t="s">
        <v>271</v>
      </c>
      <c r="C1" s="34" t="s">
        <v>272</v>
      </c>
      <c r="D1" s="34" t="s">
        <v>273</v>
      </c>
      <c r="E1" s="34" t="s">
        <v>274</v>
      </c>
      <c r="F1" s="34" t="s">
        <v>275</v>
      </c>
      <c r="G1" s="34" t="s">
        <v>276</v>
      </c>
      <c r="H1" s="34" t="s">
        <v>277</v>
      </c>
      <c r="I1" s="34" t="s">
        <v>278</v>
      </c>
      <c r="J1" s="34" t="s">
        <v>123</v>
      </c>
      <c r="K1" s="34" t="s">
        <v>279</v>
      </c>
      <c r="L1" s="34" t="s">
        <v>280</v>
      </c>
      <c r="M1" s="34" t="s">
        <v>281</v>
      </c>
      <c r="N1" s="34" t="s">
        <v>282</v>
      </c>
      <c r="O1" s="34" t="s">
        <v>283</v>
      </c>
      <c r="P1" s="34" t="s">
        <v>284</v>
      </c>
      <c r="Q1" s="34" t="s">
        <v>285</v>
      </c>
      <c r="R1" s="34" t="s">
        <v>286</v>
      </c>
      <c r="S1" s="34" t="s">
        <v>287</v>
      </c>
      <c r="T1" s="34" t="s">
        <v>288</v>
      </c>
      <c r="U1" s="34" t="s">
        <v>289</v>
      </c>
      <c r="V1" s="34" t="s">
        <v>290</v>
      </c>
      <c r="W1" s="34" t="s">
        <v>291</v>
      </c>
      <c r="X1" s="34" t="s">
        <v>292</v>
      </c>
      <c r="Y1" s="34" t="s">
        <v>293</v>
      </c>
      <c r="Z1" s="34" t="s">
        <v>294</v>
      </c>
      <c r="AA1" s="34" t="s">
        <v>295</v>
      </c>
      <c r="AB1" s="34" t="s">
        <v>296</v>
      </c>
      <c r="AC1" s="34" t="s">
        <v>297</v>
      </c>
      <c r="AD1" s="34" t="s">
        <v>298</v>
      </c>
      <c r="AE1" s="34" t="s">
        <v>299</v>
      </c>
    </row>
    <row r="2" spans="1:31" ht="16.5" customHeight="1">
      <c r="A2" s="46">
        <v>3</v>
      </c>
      <c r="B2" s="46">
        <v>3</v>
      </c>
      <c r="C2" s="46" t="s">
        <v>300</v>
      </c>
      <c r="D2" s="46">
        <v>0</v>
      </c>
      <c r="E2" s="46">
        <v>0</v>
      </c>
      <c r="F2" s="46">
        <v>0</v>
      </c>
      <c r="G2" s="46">
        <v>0</v>
      </c>
      <c r="H2" s="46">
        <v>0</v>
      </c>
      <c r="I2" s="46">
        <v>0</v>
      </c>
      <c r="J2" s="46"/>
      <c r="K2" s="46" t="s">
        <v>301</v>
      </c>
      <c r="L2" s="46" t="s">
        <v>302</v>
      </c>
      <c r="M2" s="46">
        <v>156</v>
      </c>
      <c r="N2" s="46">
        <v>0</v>
      </c>
      <c r="O2" s="46" t="s">
        <v>303</v>
      </c>
      <c r="P2" s="46" t="s">
        <v>304</v>
      </c>
      <c r="Q2" s="46" t="s">
        <v>305</v>
      </c>
      <c r="R2" s="46" t="s">
        <v>306</v>
      </c>
      <c r="S2" s="54" t="s">
        <v>302</v>
      </c>
      <c r="T2" s="54" t="s">
        <v>307</v>
      </c>
      <c r="U2" s="46">
        <v>0</v>
      </c>
      <c r="V2" s="46">
        <v>0</v>
      </c>
      <c r="W2" s="46">
        <v>0</v>
      </c>
      <c r="X2" s="46" t="s">
        <v>308</v>
      </c>
      <c r="Y2" s="46">
        <v>0</v>
      </c>
      <c r="Z2" s="46">
        <v>0</v>
      </c>
      <c r="AA2" s="46">
        <v>0</v>
      </c>
      <c r="AB2" s="46">
        <v>0</v>
      </c>
      <c r="AC2" s="46">
        <v>0</v>
      </c>
      <c r="AD2" s="46" t="s">
        <v>267</v>
      </c>
      <c r="AE2" s="46" t="s">
        <v>309</v>
      </c>
    </row>
    <row r="3" spans="1:31" ht="16.5" customHeight="1">
      <c r="A3" s="46">
        <v>43001</v>
      </c>
      <c r="B3" s="46">
        <v>43000</v>
      </c>
      <c r="C3" s="46" t="s">
        <v>300</v>
      </c>
      <c r="D3" s="46">
        <v>0</v>
      </c>
      <c r="E3" s="46">
        <v>0</v>
      </c>
      <c r="F3" s="46">
        <v>10</v>
      </c>
      <c r="G3" s="46">
        <v>1</v>
      </c>
      <c r="H3" s="46">
        <v>1</v>
      </c>
      <c r="I3" s="46">
        <v>120</v>
      </c>
      <c r="J3" s="46" t="s">
        <v>310</v>
      </c>
      <c r="K3" s="46" t="s">
        <v>311</v>
      </c>
      <c r="L3" s="46" t="s">
        <v>312</v>
      </c>
      <c r="M3" s="46">
        <v>156</v>
      </c>
      <c r="N3" s="46">
        <v>0</v>
      </c>
      <c r="O3" s="46" t="s">
        <v>303</v>
      </c>
      <c r="P3" s="46" t="s">
        <v>304</v>
      </c>
      <c r="Q3" s="46" t="s">
        <v>305</v>
      </c>
      <c r="R3" s="46" t="s">
        <v>306</v>
      </c>
      <c r="S3" s="54" t="s">
        <v>313</v>
      </c>
      <c r="T3" s="54" t="s">
        <v>307</v>
      </c>
      <c r="U3" s="46">
        <v>200</v>
      </c>
      <c r="V3" s="46">
        <v>100</v>
      </c>
      <c r="W3" s="46">
        <v>3</v>
      </c>
      <c r="X3" s="46" t="s">
        <v>308</v>
      </c>
      <c r="Y3" s="46">
        <v>0</v>
      </c>
      <c r="Z3" s="46">
        <v>0</v>
      </c>
      <c r="AA3" s="46">
        <v>2.5</v>
      </c>
      <c r="AB3" s="46">
        <v>100</v>
      </c>
      <c r="AC3" s="46">
        <v>43000</v>
      </c>
      <c r="AD3" s="46" t="s">
        <v>267</v>
      </c>
      <c r="AE3" s="46" t="s">
        <v>309</v>
      </c>
    </row>
    <row r="4" spans="1:31" ht="16.5" customHeight="1">
      <c r="A4" s="46">
        <v>43002</v>
      </c>
      <c r="B4" s="46">
        <v>43000</v>
      </c>
      <c r="C4" s="46" t="s">
        <v>300</v>
      </c>
      <c r="D4" s="46">
        <v>0</v>
      </c>
      <c r="E4" s="46">
        <v>1</v>
      </c>
      <c r="F4" s="46">
        <v>10</v>
      </c>
      <c r="G4" s="46">
        <v>1</v>
      </c>
      <c r="H4" s="46">
        <v>1</v>
      </c>
      <c r="I4" s="46">
        <v>130</v>
      </c>
      <c r="J4" s="46" t="s">
        <v>310</v>
      </c>
      <c r="K4" s="46" t="s">
        <v>311</v>
      </c>
      <c r="L4" s="46" t="s">
        <v>312</v>
      </c>
      <c r="M4" s="46">
        <v>156</v>
      </c>
      <c r="N4" s="46">
        <v>0</v>
      </c>
      <c r="O4" s="46" t="s">
        <v>303</v>
      </c>
      <c r="P4" s="46" t="s">
        <v>304</v>
      </c>
      <c r="Q4" s="46" t="s">
        <v>305</v>
      </c>
      <c r="R4" s="46" t="s">
        <v>306</v>
      </c>
      <c r="S4" s="54" t="s">
        <v>313</v>
      </c>
      <c r="T4" s="54" t="s">
        <v>307</v>
      </c>
      <c r="U4" s="46">
        <v>230</v>
      </c>
      <c r="V4" s="46">
        <v>100</v>
      </c>
      <c r="W4" s="46">
        <v>3</v>
      </c>
      <c r="X4" s="46" t="s">
        <v>308</v>
      </c>
      <c r="Y4" s="46">
        <v>0</v>
      </c>
      <c r="Z4" s="46">
        <v>0</v>
      </c>
      <c r="AA4" s="46">
        <v>2.5</v>
      </c>
      <c r="AB4" s="46">
        <v>103</v>
      </c>
      <c r="AC4" s="46">
        <v>43000</v>
      </c>
      <c r="AD4" s="46" t="s">
        <v>267</v>
      </c>
      <c r="AE4" s="46" t="s">
        <v>309</v>
      </c>
    </row>
    <row r="5" spans="1:31" ht="16.5" customHeight="1">
      <c r="A5" s="46">
        <v>43003</v>
      </c>
      <c r="B5" s="46">
        <v>43000</v>
      </c>
      <c r="C5" s="46" t="s">
        <v>300</v>
      </c>
      <c r="D5" s="46">
        <v>0</v>
      </c>
      <c r="E5" s="46">
        <v>2</v>
      </c>
      <c r="F5" s="46">
        <v>10</v>
      </c>
      <c r="G5" s="46">
        <v>1</v>
      </c>
      <c r="H5" s="46">
        <v>1</v>
      </c>
      <c r="I5" s="46">
        <v>140</v>
      </c>
      <c r="J5" s="46" t="s">
        <v>310</v>
      </c>
      <c r="K5" s="46" t="s">
        <v>311</v>
      </c>
      <c r="L5" s="46" t="s">
        <v>312</v>
      </c>
      <c r="M5" s="46">
        <v>156</v>
      </c>
      <c r="N5" s="46">
        <v>0</v>
      </c>
      <c r="O5" s="46" t="s">
        <v>303</v>
      </c>
      <c r="P5" s="46" t="s">
        <v>304</v>
      </c>
      <c r="Q5" s="46" t="s">
        <v>305</v>
      </c>
      <c r="R5" s="46" t="s">
        <v>306</v>
      </c>
      <c r="S5" s="54" t="s">
        <v>313</v>
      </c>
      <c r="T5" s="54" t="s">
        <v>307</v>
      </c>
      <c r="U5" s="46">
        <v>240</v>
      </c>
      <c r="V5" s="46">
        <v>100</v>
      </c>
      <c r="W5" s="46">
        <v>3</v>
      </c>
      <c r="X5" s="46" t="s">
        <v>308</v>
      </c>
      <c r="Y5" s="46">
        <v>0</v>
      </c>
      <c r="Z5" s="46">
        <v>0</v>
      </c>
      <c r="AA5" s="46">
        <v>2.5</v>
      </c>
      <c r="AB5" s="46">
        <v>106</v>
      </c>
      <c r="AC5" s="46">
        <v>43000</v>
      </c>
      <c r="AD5" s="46" t="s">
        <v>267</v>
      </c>
      <c r="AE5" s="46" t="s">
        <v>309</v>
      </c>
    </row>
    <row r="6" spans="1:31" ht="16.5" customHeight="1">
      <c r="A6" s="46">
        <v>43004</v>
      </c>
      <c r="B6" s="46">
        <v>43000</v>
      </c>
      <c r="C6" s="46" t="s">
        <v>300</v>
      </c>
      <c r="D6" s="46">
        <v>0</v>
      </c>
      <c r="E6" s="46">
        <v>3</v>
      </c>
      <c r="F6" s="46">
        <v>10</v>
      </c>
      <c r="G6" s="46">
        <v>1</v>
      </c>
      <c r="H6" s="46">
        <v>1</v>
      </c>
      <c r="I6" s="46">
        <v>150</v>
      </c>
      <c r="J6" s="46" t="s">
        <v>310</v>
      </c>
      <c r="K6" s="46" t="s">
        <v>311</v>
      </c>
      <c r="L6" s="46" t="s">
        <v>312</v>
      </c>
      <c r="M6" s="46">
        <v>156</v>
      </c>
      <c r="N6" s="46">
        <v>0</v>
      </c>
      <c r="O6" s="46" t="s">
        <v>303</v>
      </c>
      <c r="P6" s="46" t="s">
        <v>304</v>
      </c>
      <c r="Q6" s="46" t="s">
        <v>305</v>
      </c>
      <c r="R6" s="46" t="s">
        <v>306</v>
      </c>
      <c r="S6" s="54" t="s">
        <v>313</v>
      </c>
      <c r="T6" s="54" t="s">
        <v>307</v>
      </c>
      <c r="U6" s="46">
        <v>250</v>
      </c>
      <c r="V6" s="46">
        <v>100</v>
      </c>
      <c r="W6" s="46">
        <v>3</v>
      </c>
      <c r="X6" s="46" t="s">
        <v>308</v>
      </c>
      <c r="Y6" s="46">
        <v>0</v>
      </c>
      <c r="Z6" s="46">
        <v>0</v>
      </c>
      <c r="AA6" s="46">
        <v>2.5</v>
      </c>
      <c r="AB6" s="46">
        <v>109</v>
      </c>
      <c r="AC6" s="46">
        <v>43000</v>
      </c>
      <c r="AD6" s="46" t="s">
        <v>267</v>
      </c>
      <c r="AE6" s="46" t="s">
        <v>309</v>
      </c>
    </row>
    <row r="7" spans="1:31" ht="16.5" customHeight="1">
      <c r="A7" s="46">
        <v>43005</v>
      </c>
      <c r="B7" s="46">
        <v>43000</v>
      </c>
      <c r="C7" s="46" t="s">
        <v>300</v>
      </c>
      <c r="D7" s="46">
        <v>0</v>
      </c>
      <c r="E7" s="46">
        <v>4</v>
      </c>
      <c r="F7" s="46">
        <v>10</v>
      </c>
      <c r="G7" s="46">
        <v>1</v>
      </c>
      <c r="H7" s="46">
        <v>1</v>
      </c>
      <c r="I7" s="46">
        <v>160</v>
      </c>
      <c r="J7" s="46" t="s">
        <v>310</v>
      </c>
      <c r="K7" s="46" t="s">
        <v>311</v>
      </c>
      <c r="L7" s="46" t="s">
        <v>312</v>
      </c>
      <c r="M7" s="46">
        <v>156</v>
      </c>
      <c r="N7" s="46">
        <v>0</v>
      </c>
      <c r="O7" s="46" t="s">
        <v>303</v>
      </c>
      <c r="P7" s="46" t="s">
        <v>304</v>
      </c>
      <c r="Q7" s="46" t="s">
        <v>305</v>
      </c>
      <c r="R7" s="46" t="s">
        <v>306</v>
      </c>
      <c r="S7" s="54" t="s">
        <v>313</v>
      </c>
      <c r="T7" s="54" t="s">
        <v>307</v>
      </c>
      <c r="U7" s="46">
        <v>260</v>
      </c>
      <c r="V7" s="46">
        <v>100</v>
      </c>
      <c r="W7" s="46">
        <v>3</v>
      </c>
      <c r="X7" s="46" t="s">
        <v>308</v>
      </c>
      <c r="Y7" s="46">
        <v>0</v>
      </c>
      <c r="Z7" s="46">
        <v>0</v>
      </c>
      <c r="AA7" s="46">
        <v>2.5</v>
      </c>
      <c r="AB7" s="46">
        <v>112</v>
      </c>
      <c r="AC7" s="46">
        <v>43000</v>
      </c>
      <c r="AD7" s="46" t="s">
        <v>267</v>
      </c>
      <c r="AE7" s="46" t="s">
        <v>309</v>
      </c>
    </row>
    <row r="8" spans="1:31" ht="16.5" customHeight="1">
      <c r="A8" s="46">
        <v>43006</v>
      </c>
      <c r="B8" s="46">
        <v>43000</v>
      </c>
      <c r="C8" s="46" t="s">
        <v>300</v>
      </c>
      <c r="D8" s="46">
        <v>0</v>
      </c>
      <c r="E8" s="46">
        <v>5</v>
      </c>
      <c r="F8" s="46">
        <v>20</v>
      </c>
      <c r="G8" s="46">
        <v>1</v>
      </c>
      <c r="H8" s="46">
        <v>2</v>
      </c>
      <c r="I8" s="46">
        <v>170</v>
      </c>
      <c r="J8" s="46" t="s">
        <v>310</v>
      </c>
      <c r="K8" s="46" t="s">
        <v>311</v>
      </c>
      <c r="L8" s="46" t="s">
        <v>312</v>
      </c>
      <c r="M8" s="46">
        <v>156</v>
      </c>
      <c r="N8" s="46">
        <v>0</v>
      </c>
      <c r="O8" s="46" t="s">
        <v>303</v>
      </c>
      <c r="P8" s="46" t="s">
        <v>304</v>
      </c>
      <c r="Q8" s="46" t="s">
        <v>305</v>
      </c>
      <c r="R8" s="46" t="s">
        <v>306</v>
      </c>
      <c r="S8" s="54" t="s">
        <v>313</v>
      </c>
      <c r="T8" s="54" t="s">
        <v>307</v>
      </c>
      <c r="U8" s="46">
        <v>270</v>
      </c>
      <c r="V8" s="46">
        <v>100</v>
      </c>
      <c r="W8" s="46">
        <v>3</v>
      </c>
      <c r="X8" s="46" t="s">
        <v>308</v>
      </c>
      <c r="Y8" s="46">
        <v>0</v>
      </c>
      <c r="Z8" s="46">
        <v>0</v>
      </c>
      <c r="AA8" s="46">
        <v>2.5</v>
      </c>
      <c r="AB8" s="46">
        <v>115</v>
      </c>
      <c r="AC8" s="46">
        <v>43000</v>
      </c>
      <c r="AD8" s="46" t="s">
        <v>267</v>
      </c>
      <c r="AE8" s="46" t="s">
        <v>309</v>
      </c>
    </row>
    <row r="9" spans="1:31" ht="16.5" customHeight="1">
      <c r="A9" s="46">
        <v>43007</v>
      </c>
      <c r="B9" s="46">
        <v>43000</v>
      </c>
      <c r="C9" s="46" t="s">
        <v>300</v>
      </c>
      <c r="D9" s="46">
        <v>1</v>
      </c>
      <c r="E9" s="46">
        <v>0</v>
      </c>
      <c r="F9" s="46">
        <v>20</v>
      </c>
      <c r="G9" s="46">
        <v>2</v>
      </c>
      <c r="H9" s="46">
        <v>2</v>
      </c>
      <c r="I9" s="46">
        <v>180</v>
      </c>
      <c r="J9" s="46" t="s">
        <v>310</v>
      </c>
      <c r="K9" s="46" t="s">
        <v>314</v>
      </c>
      <c r="L9" s="46" t="s">
        <v>312</v>
      </c>
      <c r="M9" s="46">
        <v>156</v>
      </c>
      <c r="N9" s="46">
        <v>0</v>
      </c>
      <c r="O9" s="46" t="s">
        <v>303</v>
      </c>
      <c r="P9" s="46" t="s">
        <v>304</v>
      </c>
      <c r="Q9" s="46" t="s">
        <v>305</v>
      </c>
      <c r="R9" s="46" t="s">
        <v>306</v>
      </c>
      <c r="S9" s="54" t="s">
        <v>313</v>
      </c>
      <c r="T9" s="54" t="s">
        <v>307</v>
      </c>
      <c r="U9" s="46">
        <v>280</v>
      </c>
      <c r="V9" s="46">
        <v>150</v>
      </c>
      <c r="W9" s="46">
        <v>3</v>
      </c>
      <c r="X9" s="46" t="s">
        <v>308</v>
      </c>
      <c r="Y9" s="46">
        <v>0</v>
      </c>
      <c r="Z9" s="46">
        <v>0</v>
      </c>
      <c r="AA9" s="46">
        <v>2.5</v>
      </c>
      <c r="AB9" s="46">
        <v>120</v>
      </c>
      <c r="AC9" s="46">
        <v>43000</v>
      </c>
      <c r="AD9" s="46" t="s">
        <v>267</v>
      </c>
      <c r="AE9" s="46" t="s">
        <v>309</v>
      </c>
    </row>
    <row r="10" spans="1:31" ht="16.5" customHeight="1">
      <c r="A10" s="46">
        <v>43008</v>
      </c>
      <c r="B10" s="46">
        <v>43000</v>
      </c>
      <c r="C10" s="46" t="s">
        <v>300</v>
      </c>
      <c r="D10" s="46">
        <v>1</v>
      </c>
      <c r="E10" s="46">
        <v>1</v>
      </c>
      <c r="F10" s="46">
        <v>20</v>
      </c>
      <c r="G10" s="46">
        <v>2</v>
      </c>
      <c r="H10" s="46">
        <v>2</v>
      </c>
      <c r="I10" s="46">
        <v>190</v>
      </c>
      <c r="J10" s="46" t="s">
        <v>310</v>
      </c>
      <c r="K10" s="46" t="s">
        <v>314</v>
      </c>
      <c r="L10" s="46" t="s">
        <v>312</v>
      </c>
      <c r="M10" s="46">
        <v>156</v>
      </c>
      <c r="N10" s="46">
        <v>0</v>
      </c>
      <c r="O10" s="46" t="s">
        <v>303</v>
      </c>
      <c r="P10" s="46" t="s">
        <v>304</v>
      </c>
      <c r="Q10" s="46" t="s">
        <v>305</v>
      </c>
      <c r="R10" s="46" t="s">
        <v>306</v>
      </c>
      <c r="S10" s="54" t="s">
        <v>313</v>
      </c>
      <c r="T10" s="54" t="s">
        <v>307</v>
      </c>
      <c r="U10" s="46">
        <v>290</v>
      </c>
      <c r="V10" s="46">
        <v>150</v>
      </c>
      <c r="W10" s="46">
        <v>3</v>
      </c>
      <c r="X10" s="46" t="s">
        <v>308</v>
      </c>
      <c r="Y10" s="46">
        <v>0</v>
      </c>
      <c r="Z10" s="46">
        <v>0</v>
      </c>
      <c r="AA10" s="46">
        <v>2.5</v>
      </c>
      <c r="AB10" s="46">
        <v>125</v>
      </c>
      <c r="AC10" s="46">
        <v>43000</v>
      </c>
      <c r="AD10" s="46" t="s">
        <v>267</v>
      </c>
      <c r="AE10" s="46" t="s">
        <v>309</v>
      </c>
    </row>
    <row r="11" spans="1:31" ht="16.5" customHeight="1">
      <c r="A11" s="46">
        <v>43009</v>
      </c>
      <c r="B11" s="46">
        <v>43000</v>
      </c>
      <c r="C11" s="46" t="s">
        <v>300</v>
      </c>
      <c r="D11" s="46">
        <v>1</v>
      </c>
      <c r="E11" s="46">
        <v>2</v>
      </c>
      <c r="F11" s="46">
        <v>20</v>
      </c>
      <c r="G11" s="46">
        <v>2</v>
      </c>
      <c r="H11" s="46">
        <v>2</v>
      </c>
      <c r="I11" s="46">
        <v>200</v>
      </c>
      <c r="J11" s="46" t="s">
        <v>310</v>
      </c>
      <c r="K11" s="46" t="s">
        <v>314</v>
      </c>
      <c r="L11" s="46" t="s">
        <v>312</v>
      </c>
      <c r="M11" s="46">
        <v>156</v>
      </c>
      <c r="N11" s="46">
        <v>0</v>
      </c>
      <c r="O11" s="46" t="s">
        <v>303</v>
      </c>
      <c r="P11" s="46" t="s">
        <v>304</v>
      </c>
      <c r="Q11" s="46" t="s">
        <v>305</v>
      </c>
      <c r="R11" s="46" t="s">
        <v>306</v>
      </c>
      <c r="S11" s="54" t="s">
        <v>313</v>
      </c>
      <c r="T11" s="54" t="s">
        <v>307</v>
      </c>
      <c r="U11" s="46">
        <v>300</v>
      </c>
      <c r="V11" s="46">
        <v>150</v>
      </c>
      <c r="W11" s="46">
        <v>3</v>
      </c>
      <c r="X11" s="46" t="s">
        <v>308</v>
      </c>
      <c r="Y11" s="46">
        <v>0</v>
      </c>
      <c r="Z11" s="46">
        <v>0</v>
      </c>
      <c r="AA11" s="46">
        <v>2.5</v>
      </c>
      <c r="AB11" s="46">
        <v>130</v>
      </c>
      <c r="AC11" s="46">
        <v>43000</v>
      </c>
      <c r="AD11" s="46" t="s">
        <v>267</v>
      </c>
      <c r="AE11" s="46" t="s">
        <v>309</v>
      </c>
    </row>
    <row r="12" spans="1:31" ht="16.5" customHeight="1">
      <c r="A12" s="46">
        <v>43010</v>
      </c>
      <c r="B12" s="46">
        <v>43000</v>
      </c>
      <c r="C12" s="46" t="s">
        <v>300</v>
      </c>
      <c r="D12" s="46">
        <v>1</v>
      </c>
      <c r="E12" s="46">
        <v>3</v>
      </c>
      <c r="F12" s="46">
        <v>20</v>
      </c>
      <c r="G12" s="46">
        <v>2</v>
      </c>
      <c r="H12" s="46">
        <v>2</v>
      </c>
      <c r="I12" s="46">
        <v>210</v>
      </c>
      <c r="J12" s="46" t="s">
        <v>310</v>
      </c>
      <c r="K12" s="46" t="s">
        <v>314</v>
      </c>
      <c r="L12" s="46" t="s">
        <v>312</v>
      </c>
      <c r="M12" s="46">
        <v>156</v>
      </c>
      <c r="N12" s="46">
        <v>0</v>
      </c>
      <c r="O12" s="46" t="s">
        <v>303</v>
      </c>
      <c r="P12" s="46" t="s">
        <v>304</v>
      </c>
      <c r="Q12" s="46" t="s">
        <v>305</v>
      </c>
      <c r="R12" s="46" t="s">
        <v>306</v>
      </c>
      <c r="S12" s="54" t="s">
        <v>313</v>
      </c>
      <c r="T12" s="54" t="s">
        <v>307</v>
      </c>
      <c r="U12" s="46">
        <v>310</v>
      </c>
      <c r="V12" s="46">
        <v>150</v>
      </c>
      <c r="W12" s="46">
        <v>3</v>
      </c>
      <c r="X12" s="46" t="s">
        <v>308</v>
      </c>
      <c r="Y12" s="46">
        <v>0</v>
      </c>
      <c r="Z12" s="46">
        <v>0</v>
      </c>
      <c r="AA12" s="46">
        <v>2.5</v>
      </c>
      <c r="AB12" s="46">
        <v>135</v>
      </c>
      <c r="AC12" s="46">
        <v>43000</v>
      </c>
      <c r="AD12" s="46" t="s">
        <v>267</v>
      </c>
      <c r="AE12" s="46" t="s">
        <v>309</v>
      </c>
    </row>
    <row r="13" spans="1:31" ht="16.5" customHeight="1">
      <c r="A13" s="46">
        <v>43011</v>
      </c>
      <c r="B13" s="46">
        <v>43000</v>
      </c>
      <c r="C13" s="46" t="s">
        <v>300</v>
      </c>
      <c r="D13" s="46">
        <v>1</v>
      </c>
      <c r="E13" s="46">
        <v>4</v>
      </c>
      <c r="F13" s="46">
        <v>20</v>
      </c>
      <c r="G13" s="46">
        <v>2</v>
      </c>
      <c r="H13" s="46">
        <v>2</v>
      </c>
      <c r="I13" s="46">
        <v>220</v>
      </c>
      <c r="J13" s="46" t="s">
        <v>310</v>
      </c>
      <c r="K13" s="46" t="s">
        <v>314</v>
      </c>
      <c r="L13" s="46" t="s">
        <v>312</v>
      </c>
      <c r="M13" s="46">
        <v>156</v>
      </c>
      <c r="N13" s="46">
        <v>0</v>
      </c>
      <c r="O13" s="46" t="s">
        <v>303</v>
      </c>
      <c r="P13" s="46" t="s">
        <v>304</v>
      </c>
      <c r="Q13" s="46" t="s">
        <v>305</v>
      </c>
      <c r="R13" s="46" t="s">
        <v>306</v>
      </c>
      <c r="S13" s="54" t="s">
        <v>313</v>
      </c>
      <c r="T13" s="54" t="s">
        <v>307</v>
      </c>
      <c r="U13" s="46">
        <v>320</v>
      </c>
      <c r="V13" s="46">
        <v>150</v>
      </c>
      <c r="W13" s="46">
        <v>3</v>
      </c>
      <c r="X13" s="46" t="s">
        <v>308</v>
      </c>
      <c r="Y13" s="46">
        <v>0</v>
      </c>
      <c r="Z13" s="46">
        <v>0</v>
      </c>
      <c r="AA13" s="46">
        <v>2.5</v>
      </c>
      <c r="AB13" s="46">
        <v>140</v>
      </c>
      <c r="AC13" s="46">
        <v>43000</v>
      </c>
      <c r="AD13" s="46" t="s">
        <v>267</v>
      </c>
      <c r="AE13" s="46" t="s">
        <v>309</v>
      </c>
    </row>
    <row r="14" spans="1:31" ht="16.5" customHeight="1">
      <c r="A14" s="46">
        <v>43012</v>
      </c>
      <c r="B14" s="46">
        <v>43000</v>
      </c>
      <c r="C14" s="46" t="s">
        <v>300</v>
      </c>
      <c r="D14" s="46">
        <v>1</v>
      </c>
      <c r="E14" s="46">
        <v>5</v>
      </c>
      <c r="F14" s="46">
        <v>30</v>
      </c>
      <c r="G14" s="46">
        <v>2</v>
      </c>
      <c r="H14" s="46">
        <v>3</v>
      </c>
      <c r="I14" s="46">
        <v>230</v>
      </c>
      <c r="J14" s="46" t="s">
        <v>310</v>
      </c>
      <c r="K14" s="46" t="s">
        <v>314</v>
      </c>
      <c r="L14" s="46" t="s">
        <v>312</v>
      </c>
      <c r="M14" s="46">
        <v>156</v>
      </c>
      <c r="N14" s="46">
        <v>0</v>
      </c>
      <c r="O14" s="46" t="s">
        <v>303</v>
      </c>
      <c r="P14" s="46" t="s">
        <v>304</v>
      </c>
      <c r="Q14" s="46" t="s">
        <v>305</v>
      </c>
      <c r="R14" s="46" t="s">
        <v>306</v>
      </c>
      <c r="S14" s="54" t="s">
        <v>313</v>
      </c>
      <c r="T14" s="54" t="s">
        <v>307</v>
      </c>
      <c r="U14" s="46">
        <v>330</v>
      </c>
      <c r="V14" s="46">
        <v>150</v>
      </c>
      <c r="W14" s="46">
        <v>3</v>
      </c>
      <c r="X14" s="46" t="s">
        <v>308</v>
      </c>
      <c r="Y14" s="46">
        <v>0</v>
      </c>
      <c r="Z14" s="46">
        <v>0</v>
      </c>
      <c r="AA14" s="46">
        <v>2.5</v>
      </c>
      <c r="AB14" s="46">
        <v>145</v>
      </c>
      <c r="AC14" s="46">
        <v>43000</v>
      </c>
      <c r="AD14" s="46" t="s">
        <v>267</v>
      </c>
      <c r="AE14" s="46" t="s">
        <v>309</v>
      </c>
    </row>
    <row r="15" spans="1:31" ht="16.5" customHeight="1">
      <c r="A15" s="46">
        <v>43013</v>
      </c>
      <c r="B15" s="46">
        <v>43000</v>
      </c>
      <c r="C15" s="46" t="s">
        <v>300</v>
      </c>
      <c r="D15" s="46">
        <v>2</v>
      </c>
      <c r="E15" s="46">
        <v>0</v>
      </c>
      <c r="F15" s="46">
        <v>30</v>
      </c>
      <c r="G15" s="46">
        <v>4</v>
      </c>
      <c r="H15" s="46">
        <v>3</v>
      </c>
      <c r="I15" s="46">
        <v>250</v>
      </c>
      <c r="J15" s="46" t="s">
        <v>310</v>
      </c>
      <c r="K15" s="46" t="s">
        <v>315</v>
      </c>
      <c r="L15" s="46" t="s">
        <v>312</v>
      </c>
      <c r="M15" s="46">
        <v>156</v>
      </c>
      <c r="N15" s="46">
        <v>0</v>
      </c>
      <c r="O15" s="46" t="s">
        <v>303</v>
      </c>
      <c r="P15" s="46" t="s">
        <v>304</v>
      </c>
      <c r="Q15" s="46" t="s">
        <v>305</v>
      </c>
      <c r="R15" s="46" t="s">
        <v>306</v>
      </c>
      <c r="S15" s="54" t="s">
        <v>313</v>
      </c>
      <c r="T15" s="54" t="s">
        <v>307</v>
      </c>
      <c r="U15" s="46">
        <v>340</v>
      </c>
      <c r="V15" s="46">
        <v>150</v>
      </c>
      <c r="W15" s="46">
        <v>3</v>
      </c>
      <c r="X15" s="46" t="s">
        <v>308</v>
      </c>
      <c r="Y15" s="46">
        <v>0</v>
      </c>
      <c r="Z15" s="46">
        <v>0</v>
      </c>
      <c r="AA15" s="46">
        <v>2.5</v>
      </c>
      <c r="AB15" s="46">
        <v>155</v>
      </c>
      <c r="AC15" s="46">
        <v>43000</v>
      </c>
      <c r="AD15" s="46" t="s">
        <v>267</v>
      </c>
      <c r="AE15" s="46" t="s">
        <v>309</v>
      </c>
    </row>
    <row r="16" spans="1:31" ht="16.5" customHeight="1">
      <c r="A16" s="46">
        <v>43014</v>
      </c>
      <c r="B16" s="46">
        <v>43000</v>
      </c>
      <c r="C16" s="46" t="s">
        <v>300</v>
      </c>
      <c r="D16" s="46">
        <v>2</v>
      </c>
      <c r="E16" s="46">
        <v>1</v>
      </c>
      <c r="F16" s="46">
        <v>30</v>
      </c>
      <c r="G16" s="46">
        <v>4</v>
      </c>
      <c r="H16" s="46">
        <v>3</v>
      </c>
      <c r="I16" s="46">
        <v>270</v>
      </c>
      <c r="J16" s="46" t="s">
        <v>310</v>
      </c>
      <c r="K16" s="46" t="s">
        <v>315</v>
      </c>
      <c r="L16" s="46" t="s">
        <v>312</v>
      </c>
      <c r="M16" s="46">
        <v>156</v>
      </c>
      <c r="N16" s="46">
        <v>0</v>
      </c>
      <c r="O16" s="46" t="s">
        <v>303</v>
      </c>
      <c r="P16" s="46" t="s">
        <v>304</v>
      </c>
      <c r="Q16" s="46" t="s">
        <v>305</v>
      </c>
      <c r="R16" s="46" t="s">
        <v>306</v>
      </c>
      <c r="S16" s="54" t="s">
        <v>313</v>
      </c>
      <c r="T16" s="54" t="s">
        <v>307</v>
      </c>
      <c r="U16" s="46">
        <v>350</v>
      </c>
      <c r="V16" s="46">
        <v>150</v>
      </c>
      <c r="W16" s="46">
        <v>3</v>
      </c>
      <c r="X16" s="46" t="s">
        <v>308</v>
      </c>
      <c r="Y16" s="46">
        <v>0</v>
      </c>
      <c r="Z16" s="46">
        <v>0</v>
      </c>
      <c r="AA16" s="46">
        <v>2.5</v>
      </c>
      <c r="AB16" s="46">
        <v>165</v>
      </c>
      <c r="AC16" s="46">
        <v>43000</v>
      </c>
      <c r="AD16" s="46" t="s">
        <v>267</v>
      </c>
      <c r="AE16" s="46" t="s">
        <v>309</v>
      </c>
    </row>
    <row r="17" spans="1:31" ht="16.5" customHeight="1">
      <c r="A17" s="46">
        <v>43015</v>
      </c>
      <c r="B17" s="46">
        <v>43000</v>
      </c>
      <c r="C17" s="46" t="s">
        <v>300</v>
      </c>
      <c r="D17" s="46">
        <v>2</v>
      </c>
      <c r="E17" s="46">
        <v>2</v>
      </c>
      <c r="F17" s="46">
        <v>30</v>
      </c>
      <c r="G17" s="46">
        <v>4</v>
      </c>
      <c r="H17" s="46">
        <v>3</v>
      </c>
      <c r="I17" s="46">
        <v>290</v>
      </c>
      <c r="J17" s="46" t="s">
        <v>310</v>
      </c>
      <c r="K17" s="46" t="s">
        <v>315</v>
      </c>
      <c r="L17" s="46" t="s">
        <v>312</v>
      </c>
      <c r="M17" s="46">
        <v>156</v>
      </c>
      <c r="N17" s="46">
        <v>0</v>
      </c>
      <c r="O17" s="46" t="s">
        <v>303</v>
      </c>
      <c r="P17" s="46" t="s">
        <v>304</v>
      </c>
      <c r="Q17" s="46" t="s">
        <v>305</v>
      </c>
      <c r="R17" s="46" t="s">
        <v>306</v>
      </c>
      <c r="S17" s="54" t="s">
        <v>313</v>
      </c>
      <c r="T17" s="54" t="s">
        <v>307</v>
      </c>
      <c r="U17" s="46">
        <v>360</v>
      </c>
      <c r="V17" s="46">
        <v>150</v>
      </c>
      <c r="W17" s="46">
        <v>3</v>
      </c>
      <c r="X17" s="46" t="s">
        <v>308</v>
      </c>
      <c r="Y17" s="46">
        <v>0</v>
      </c>
      <c r="Z17" s="46">
        <v>0</v>
      </c>
      <c r="AA17" s="46">
        <v>2.5</v>
      </c>
      <c r="AB17" s="46">
        <v>175</v>
      </c>
      <c r="AC17" s="46">
        <v>43000</v>
      </c>
      <c r="AD17" s="46" t="s">
        <v>267</v>
      </c>
      <c r="AE17" s="46" t="s">
        <v>309</v>
      </c>
    </row>
    <row r="18" spans="1:31" ht="16.5" customHeight="1">
      <c r="A18" s="46">
        <v>43016</v>
      </c>
      <c r="B18" s="46">
        <v>43000</v>
      </c>
      <c r="C18" s="46" t="s">
        <v>300</v>
      </c>
      <c r="D18" s="46">
        <v>2</v>
      </c>
      <c r="E18" s="46">
        <v>3</v>
      </c>
      <c r="F18" s="46">
        <v>30</v>
      </c>
      <c r="G18" s="46">
        <v>4</v>
      </c>
      <c r="H18" s="46">
        <v>3</v>
      </c>
      <c r="I18" s="46">
        <v>310</v>
      </c>
      <c r="J18" s="46" t="s">
        <v>310</v>
      </c>
      <c r="K18" s="46" t="s">
        <v>315</v>
      </c>
      <c r="L18" s="46" t="s">
        <v>312</v>
      </c>
      <c r="M18" s="46">
        <v>156</v>
      </c>
      <c r="N18" s="46">
        <v>0</v>
      </c>
      <c r="O18" s="46" t="s">
        <v>303</v>
      </c>
      <c r="P18" s="46" t="s">
        <v>304</v>
      </c>
      <c r="Q18" s="46" t="s">
        <v>305</v>
      </c>
      <c r="R18" s="46" t="s">
        <v>306</v>
      </c>
      <c r="S18" s="54" t="s">
        <v>313</v>
      </c>
      <c r="T18" s="54" t="s">
        <v>307</v>
      </c>
      <c r="U18" s="46">
        <v>370</v>
      </c>
      <c r="V18" s="46">
        <v>150</v>
      </c>
      <c r="W18" s="46">
        <v>3</v>
      </c>
      <c r="X18" s="46" t="s">
        <v>308</v>
      </c>
      <c r="Y18" s="46">
        <v>0</v>
      </c>
      <c r="Z18" s="46">
        <v>0</v>
      </c>
      <c r="AA18" s="46">
        <v>2.5</v>
      </c>
      <c r="AB18" s="46">
        <v>185</v>
      </c>
      <c r="AC18" s="46">
        <v>43000</v>
      </c>
      <c r="AD18" s="46" t="s">
        <v>267</v>
      </c>
      <c r="AE18" s="46" t="s">
        <v>309</v>
      </c>
    </row>
    <row r="19" spans="1:31" ht="16.5" customHeight="1">
      <c r="A19" s="46">
        <v>43017</v>
      </c>
      <c r="B19" s="46">
        <v>43000</v>
      </c>
      <c r="C19" s="46" t="s">
        <v>300</v>
      </c>
      <c r="D19" s="46">
        <v>2</v>
      </c>
      <c r="E19" s="46">
        <v>4</v>
      </c>
      <c r="F19" s="46">
        <v>30</v>
      </c>
      <c r="G19" s="46">
        <v>4</v>
      </c>
      <c r="H19" s="46">
        <v>3</v>
      </c>
      <c r="I19" s="46">
        <v>330</v>
      </c>
      <c r="J19" s="46" t="s">
        <v>310</v>
      </c>
      <c r="K19" s="46" t="s">
        <v>315</v>
      </c>
      <c r="L19" s="46" t="s">
        <v>312</v>
      </c>
      <c r="M19" s="46">
        <v>156</v>
      </c>
      <c r="N19" s="46">
        <v>0</v>
      </c>
      <c r="O19" s="46" t="s">
        <v>303</v>
      </c>
      <c r="P19" s="46" t="s">
        <v>304</v>
      </c>
      <c r="Q19" s="46" t="s">
        <v>305</v>
      </c>
      <c r="R19" s="46" t="s">
        <v>306</v>
      </c>
      <c r="S19" s="54" t="s">
        <v>313</v>
      </c>
      <c r="T19" s="54" t="s">
        <v>307</v>
      </c>
      <c r="U19" s="46">
        <v>380</v>
      </c>
      <c r="V19" s="46">
        <v>150</v>
      </c>
      <c r="W19" s="46">
        <v>3</v>
      </c>
      <c r="X19" s="46" t="s">
        <v>308</v>
      </c>
      <c r="Y19" s="46">
        <v>0</v>
      </c>
      <c r="Z19" s="46">
        <v>0</v>
      </c>
      <c r="AA19" s="46">
        <v>2.5</v>
      </c>
      <c r="AB19" s="46">
        <v>195</v>
      </c>
      <c r="AC19" s="46">
        <v>43000</v>
      </c>
      <c r="AD19" s="46" t="s">
        <v>267</v>
      </c>
      <c r="AE19" s="46" t="s">
        <v>309</v>
      </c>
    </row>
    <row r="20" spans="1:31" ht="16.5" customHeight="1">
      <c r="A20" s="46">
        <v>43018</v>
      </c>
      <c r="B20" s="46">
        <v>43000</v>
      </c>
      <c r="C20" s="46" t="s">
        <v>300</v>
      </c>
      <c r="D20" s="46">
        <v>2</v>
      </c>
      <c r="E20" s="46">
        <v>5</v>
      </c>
      <c r="F20" s="46">
        <v>50</v>
      </c>
      <c r="G20" s="46">
        <v>4</v>
      </c>
      <c r="H20" s="46">
        <v>4</v>
      </c>
      <c r="I20" s="46">
        <v>350</v>
      </c>
      <c r="J20" s="46" t="s">
        <v>310</v>
      </c>
      <c r="K20" s="46" t="s">
        <v>315</v>
      </c>
      <c r="L20" s="46" t="s">
        <v>312</v>
      </c>
      <c r="M20" s="46">
        <v>156</v>
      </c>
      <c r="N20" s="46">
        <v>0</v>
      </c>
      <c r="O20" s="46" t="s">
        <v>303</v>
      </c>
      <c r="P20" s="46" t="s">
        <v>304</v>
      </c>
      <c r="Q20" s="46" t="s">
        <v>305</v>
      </c>
      <c r="R20" s="46" t="s">
        <v>306</v>
      </c>
      <c r="S20" s="54" t="s">
        <v>313</v>
      </c>
      <c r="T20" s="54" t="s">
        <v>307</v>
      </c>
      <c r="U20" s="46">
        <v>390</v>
      </c>
      <c r="V20" s="46">
        <v>150</v>
      </c>
      <c r="W20" s="46">
        <v>3</v>
      </c>
      <c r="X20" s="46" t="s">
        <v>308</v>
      </c>
      <c r="Y20" s="46">
        <v>0</v>
      </c>
      <c r="Z20" s="46">
        <v>0</v>
      </c>
      <c r="AA20" s="46">
        <v>2.5</v>
      </c>
      <c r="AB20" s="46">
        <v>205</v>
      </c>
      <c r="AC20" s="46">
        <v>43000</v>
      </c>
      <c r="AD20" s="46" t="s">
        <v>267</v>
      </c>
      <c r="AE20" s="46" t="s">
        <v>309</v>
      </c>
    </row>
    <row r="21" spans="1:31" ht="16.5" customHeight="1">
      <c r="A21" s="46">
        <v>43019</v>
      </c>
      <c r="B21" s="46">
        <v>43000</v>
      </c>
      <c r="C21" s="46" t="s">
        <v>300</v>
      </c>
      <c r="D21" s="46">
        <v>3</v>
      </c>
      <c r="E21" s="46">
        <v>0</v>
      </c>
      <c r="F21" s="46">
        <v>50</v>
      </c>
      <c r="G21" s="46">
        <v>8</v>
      </c>
      <c r="H21" s="46">
        <v>4</v>
      </c>
      <c r="I21" s="46">
        <v>380</v>
      </c>
      <c r="J21" s="46" t="s">
        <v>310</v>
      </c>
      <c r="K21" s="46" t="s">
        <v>316</v>
      </c>
      <c r="L21" s="46" t="s">
        <v>312</v>
      </c>
      <c r="M21" s="46">
        <v>156</v>
      </c>
      <c r="N21" s="46">
        <v>0</v>
      </c>
      <c r="O21" s="46" t="s">
        <v>303</v>
      </c>
      <c r="P21" s="46" t="s">
        <v>304</v>
      </c>
      <c r="Q21" s="46" t="s">
        <v>305</v>
      </c>
      <c r="R21" s="46" t="s">
        <v>306</v>
      </c>
      <c r="S21" s="54" t="s">
        <v>313</v>
      </c>
      <c r="T21" s="54" t="s">
        <v>307</v>
      </c>
      <c r="U21" s="46">
        <v>400</v>
      </c>
      <c r="V21" s="46">
        <v>200</v>
      </c>
      <c r="W21" s="46">
        <v>3</v>
      </c>
      <c r="X21" s="46" t="s">
        <v>308</v>
      </c>
      <c r="Y21" s="46">
        <v>0</v>
      </c>
      <c r="Z21" s="46">
        <v>0</v>
      </c>
      <c r="AA21" s="46">
        <v>2.5</v>
      </c>
      <c r="AB21" s="46">
        <v>215</v>
      </c>
      <c r="AC21" s="46">
        <v>43000</v>
      </c>
      <c r="AD21" s="46" t="s">
        <v>267</v>
      </c>
      <c r="AE21" s="46" t="s">
        <v>309</v>
      </c>
    </row>
    <row r="22" spans="1:31" ht="16.5" customHeight="1">
      <c r="A22" s="46">
        <v>43020</v>
      </c>
      <c r="B22" s="46">
        <v>43000</v>
      </c>
      <c r="C22" s="46" t="s">
        <v>300</v>
      </c>
      <c r="D22" s="46">
        <v>3</v>
      </c>
      <c r="E22" s="46">
        <v>1</v>
      </c>
      <c r="F22" s="46">
        <v>50</v>
      </c>
      <c r="G22" s="46">
        <v>8</v>
      </c>
      <c r="H22" s="46">
        <v>4</v>
      </c>
      <c r="I22" s="46">
        <v>410</v>
      </c>
      <c r="J22" s="46" t="s">
        <v>310</v>
      </c>
      <c r="K22" s="46" t="s">
        <v>316</v>
      </c>
      <c r="L22" s="46" t="s">
        <v>312</v>
      </c>
      <c r="M22" s="46">
        <v>156</v>
      </c>
      <c r="N22" s="46">
        <v>0</v>
      </c>
      <c r="O22" s="46" t="s">
        <v>303</v>
      </c>
      <c r="P22" s="46" t="s">
        <v>304</v>
      </c>
      <c r="Q22" s="46" t="s">
        <v>305</v>
      </c>
      <c r="R22" s="46" t="s">
        <v>306</v>
      </c>
      <c r="S22" s="54" t="s">
        <v>313</v>
      </c>
      <c r="T22" s="54" t="s">
        <v>307</v>
      </c>
      <c r="U22" s="46">
        <v>410</v>
      </c>
      <c r="V22" s="46">
        <v>200</v>
      </c>
      <c r="W22" s="46">
        <v>3</v>
      </c>
      <c r="X22" s="46" t="s">
        <v>308</v>
      </c>
      <c r="Y22" s="46">
        <v>0</v>
      </c>
      <c r="Z22" s="46">
        <v>0</v>
      </c>
      <c r="AA22" s="46">
        <v>2.5</v>
      </c>
      <c r="AB22" s="46">
        <v>225</v>
      </c>
      <c r="AC22" s="46">
        <v>43000</v>
      </c>
      <c r="AD22" s="46" t="s">
        <v>267</v>
      </c>
      <c r="AE22" s="46" t="s">
        <v>309</v>
      </c>
    </row>
    <row r="23" spans="1:31" ht="16.5" customHeight="1">
      <c r="A23" s="46">
        <v>43021</v>
      </c>
      <c r="B23" s="46">
        <v>43000</v>
      </c>
      <c r="C23" s="46" t="s">
        <v>300</v>
      </c>
      <c r="D23" s="46">
        <v>3</v>
      </c>
      <c r="E23" s="46">
        <v>2</v>
      </c>
      <c r="F23" s="46">
        <v>50</v>
      </c>
      <c r="G23" s="46">
        <v>8</v>
      </c>
      <c r="H23" s="46">
        <v>4</v>
      </c>
      <c r="I23" s="46">
        <v>440</v>
      </c>
      <c r="J23" s="46" t="s">
        <v>310</v>
      </c>
      <c r="K23" s="46" t="s">
        <v>316</v>
      </c>
      <c r="L23" s="46" t="s">
        <v>312</v>
      </c>
      <c r="M23" s="46">
        <v>156</v>
      </c>
      <c r="N23" s="46">
        <v>0</v>
      </c>
      <c r="O23" s="46" t="s">
        <v>303</v>
      </c>
      <c r="P23" s="46" t="s">
        <v>304</v>
      </c>
      <c r="Q23" s="46" t="s">
        <v>305</v>
      </c>
      <c r="R23" s="46" t="s">
        <v>306</v>
      </c>
      <c r="S23" s="54" t="s">
        <v>313</v>
      </c>
      <c r="T23" s="54" t="s">
        <v>307</v>
      </c>
      <c r="U23" s="46">
        <v>420</v>
      </c>
      <c r="V23" s="46">
        <v>200</v>
      </c>
      <c r="W23" s="46">
        <v>3</v>
      </c>
      <c r="X23" s="46" t="s">
        <v>308</v>
      </c>
      <c r="Y23" s="46">
        <v>0</v>
      </c>
      <c r="Z23" s="46">
        <v>0</v>
      </c>
      <c r="AA23" s="46">
        <v>2.5</v>
      </c>
      <c r="AB23" s="46">
        <v>235</v>
      </c>
      <c r="AC23" s="46">
        <v>43000</v>
      </c>
      <c r="AD23" s="46" t="s">
        <v>267</v>
      </c>
      <c r="AE23" s="46" t="s">
        <v>309</v>
      </c>
    </row>
    <row r="24" spans="1:31" ht="16.5" customHeight="1">
      <c r="A24" s="46">
        <v>43022</v>
      </c>
      <c r="B24" s="46">
        <v>43000</v>
      </c>
      <c r="C24" s="46" t="s">
        <v>300</v>
      </c>
      <c r="D24" s="46">
        <v>3</v>
      </c>
      <c r="E24" s="46">
        <v>3</v>
      </c>
      <c r="F24" s="46">
        <v>50</v>
      </c>
      <c r="G24" s="46">
        <v>8</v>
      </c>
      <c r="H24" s="46">
        <v>4</v>
      </c>
      <c r="I24" s="46">
        <v>470</v>
      </c>
      <c r="J24" s="46" t="s">
        <v>310</v>
      </c>
      <c r="K24" s="46" t="s">
        <v>316</v>
      </c>
      <c r="L24" s="46" t="s">
        <v>312</v>
      </c>
      <c r="M24" s="46">
        <v>156</v>
      </c>
      <c r="N24" s="46">
        <v>0</v>
      </c>
      <c r="O24" s="46" t="s">
        <v>303</v>
      </c>
      <c r="P24" s="46" t="s">
        <v>304</v>
      </c>
      <c r="Q24" s="46" t="s">
        <v>305</v>
      </c>
      <c r="R24" s="46" t="s">
        <v>306</v>
      </c>
      <c r="S24" s="54" t="s">
        <v>313</v>
      </c>
      <c r="T24" s="54" t="s">
        <v>307</v>
      </c>
      <c r="U24" s="46">
        <v>430</v>
      </c>
      <c r="V24" s="46">
        <v>200</v>
      </c>
      <c r="W24" s="46">
        <v>3</v>
      </c>
      <c r="X24" s="46" t="s">
        <v>308</v>
      </c>
      <c r="Y24" s="46">
        <v>0</v>
      </c>
      <c r="Z24" s="46">
        <v>0</v>
      </c>
      <c r="AA24" s="46">
        <v>2.5</v>
      </c>
      <c r="AB24" s="46">
        <v>245</v>
      </c>
      <c r="AC24" s="46">
        <v>43000</v>
      </c>
      <c r="AD24" s="46" t="s">
        <v>267</v>
      </c>
      <c r="AE24" s="46" t="s">
        <v>309</v>
      </c>
    </row>
    <row r="25" spans="1:31" ht="16.5" customHeight="1">
      <c r="A25" s="46">
        <v>43023</v>
      </c>
      <c r="B25" s="46">
        <v>43000</v>
      </c>
      <c r="C25" s="46" t="s">
        <v>300</v>
      </c>
      <c r="D25" s="46">
        <v>3</v>
      </c>
      <c r="E25" s="46">
        <v>4</v>
      </c>
      <c r="F25" s="46">
        <v>50</v>
      </c>
      <c r="G25" s="46">
        <v>8</v>
      </c>
      <c r="H25" s="46">
        <v>4</v>
      </c>
      <c r="I25" s="46">
        <v>500</v>
      </c>
      <c r="J25" s="46" t="s">
        <v>310</v>
      </c>
      <c r="K25" s="46" t="s">
        <v>316</v>
      </c>
      <c r="L25" s="46" t="s">
        <v>312</v>
      </c>
      <c r="M25" s="46">
        <v>156</v>
      </c>
      <c r="N25" s="46">
        <v>0</v>
      </c>
      <c r="O25" s="46" t="s">
        <v>303</v>
      </c>
      <c r="P25" s="46" t="s">
        <v>304</v>
      </c>
      <c r="Q25" s="46" t="s">
        <v>305</v>
      </c>
      <c r="R25" s="46" t="s">
        <v>306</v>
      </c>
      <c r="S25" s="54" t="s">
        <v>313</v>
      </c>
      <c r="T25" s="54" t="s">
        <v>307</v>
      </c>
      <c r="U25" s="46">
        <v>440</v>
      </c>
      <c r="V25" s="46">
        <v>200</v>
      </c>
      <c r="W25" s="46">
        <v>3</v>
      </c>
      <c r="X25" s="46" t="s">
        <v>308</v>
      </c>
      <c r="Y25" s="46">
        <v>0</v>
      </c>
      <c r="Z25" s="46">
        <v>0</v>
      </c>
      <c r="AA25" s="46">
        <v>2.5</v>
      </c>
      <c r="AB25" s="46">
        <v>255</v>
      </c>
      <c r="AC25" s="46">
        <v>43000</v>
      </c>
      <c r="AD25" s="46" t="s">
        <v>267</v>
      </c>
      <c r="AE25" s="46" t="s">
        <v>309</v>
      </c>
    </row>
    <row r="26" spans="1:31" ht="16.5" customHeight="1">
      <c r="A26" s="46">
        <v>43024</v>
      </c>
      <c r="B26" s="46">
        <v>43000</v>
      </c>
      <c r="C26" s="46" t="s">
        <v>300</v>
      </c>
      <c r="D26" s="46">
        <v>3</v>
      </c>
      <c r="E26" s="46">
        <v>5</v>
      </c>
      <c r="F26" s="46">
        <v>120</v>
      </c>
      <c r="G26" s="46">
        <v>8</v>
      </c>
      <c r="H26" s="46">
        <v>5</v>
      </c>
      <c r="I26" s="46">
        <v>530</v>
      </c>
      <c r="J26" s="46" t="s">
        <v>310</v>
      </c>
      <c r="K26" s="46" t="s">
        <v>316</v>
      </c>
      <c r="L26" s="46" t="s">
        <v>312</v>
      </c>
      <c r="M26" s="46">
        <v>156</v>
      </c>
      <c r="N26" s="46">
        <v>0</v>
      </c>
      <c r="O26" s="46" t="s">
        <v>303</v>
      </c>
      <c r="P26" s="46" t="s">
        <v>304</v>
      </c>
      <c r="Q26" s="46" t="s">
        <v>305</v>
      </c>
      <c r="R26" s="46" t="s">
        <v>306</v>
      </c>
      <c r="S26" s="54" t="s">
        <v>313</v>
      </c>
      <c r="T26" s="54" t="s">
        <v>307</v>
      </c>
      <c r="U26" s="46">
        <v>450</v>
      </c>
      <c r="V26" s="46">
        <v>200</v>
      </c>
      <c r="W26" s="46">
        <v>3</v>
      </c>
      <c r="X26" s="46" t="s">
        <v>308</v>
      </c>
      <c r="Y26" s="46">
        <v>0</v>
      </c>
      <c r="Z26" s="46">
        <v>0</v>
      </c>
      <c r="AA26" s="46">
        <v>2.5</v>
      </c>
      <c r="AB26" s="46">
        <v>265</v>
      </c>
      <c r="AC26" s="46">
        <v>43000</v>
      </c>
      <c r="AD26" s="46" t="s">
        <v>267</v>
      </c>
      <c r="AE26" s="46" t="s">
        <v>309</v>
      </c>
    </row>
    <row r="27" spans="1:31" ht="16.5" customHeight="1">
      <c r="A27" s="46">
        <v>43025</v>
      </c>
      <c r="B27" s="46">
        <v>43000</v>
      </c>
      <c r="C27" s="46" t="s">
        <v>300</v>
      </c>
      <c r="D27" s="46">
        <v>4</v>
      </c>
      <c r="E27" s="46">
        <v>0</v>
      </c>
      <c r="F27" s="46">
        <v>200</v>
      </c>
      <c r="G27" s="46">
        <v>24</v>
      </c>
      <c r="H27" s="46">
        <v>5</v>
      </c>
      <c r="I27" s="46">
        <v>570</v>
      </c>
      <c r="J27" s="46" t="s">
        <v>310</v>
      </c>
      <c r="K27" s="46" t="s">
        <v>317</v>
      </c>
      <c r="L27" s="46" t="s">
        <v>312</v>
      </c>
      <c r="M27" s="46">
        <v>156</v>
      </c>
      <c r="N27" s="46">
        <v>0</v>
      </c>
      <c r="O27" s="46" t="s">
        <v>303</v>
      </c>
      <c r="P27" s="46" t="s">
        <v>304</v>
      </c>
      <c r="Q27" s="46" t="s">
        <v>305</v>
      </c>
      <c r="R27" s="46" t="s">
        <v>306</v>
      </c>
      <c r="S27" s="54" t="s">
        <v>313</v>
      </c>
      <c r="T27" s="54" t="s">
        <v>307</v>
      </c>
      <c r="U27" s="46">
        <v>460</v>
      </c>
      <c r="V27" s="46">
        <v>250</v>
      </c>
      <c r="W27" s="46">
        <v>3</v>
      </c>
      <c r="X27" s="46" t="s">
        <v>308</v>
      </c>
      <c r="Y27" s="46">
        <v>0</v>
      </c>
      <c r="Z27" s="46">
        <v>0</v>
      </c>
      <c r="AA27" s="46">
        <v>2.5</v>
      </c>
      <c r="AB27" s="46">
        <v>278</v>
      </c>
      <c r="AC27" s="46">
        <v>43000</v>
      </c>
      <c r="AD27" s="46" t="s">
        <v>267</v>
      </c>
      <c r="AE27" s="46" t="s">
        <v>309</v>
      </c>
    </row>
    <row r="28" spans="1:31" ht="16.5" customHeight="1">
      <c r="A28" s="46">
        <v>43026</v>
      </c>
      <c r="B28" s="46">
        <v>43000</v>
      </c>
      <c r="C28" s="46" t="s">
        <v>300</v>
      </c>
      <c r="D28" s="46">
        <v>4</v>
      </c>
      <c r="E28" s="46">
        <v>1</v>
      </c>
      <c r="F28" s="46">
        <v>280</v>
      </c>
      <c r="G28" s="46">
        <v>24</v>
      </c>
      <c r="H28" s="46">
        <v>5</v>
      </c>
      <c r="I28" s="46">
        <v>610</v>
      </c>
      <c r="J28" s="46" t="s">
        <v>310</v>
      </c>
      <c r="K28" s="46" t="s">
        <v>317</v>
      </c>
      <c r="L28" s="46" t="s">
        <v>312</v>
      </c>
      <c r="M28" s="46">
        <v>156</v>
      </c>
      <c r="N28" s="46">
        <v>0</v>
      </c>
      <c r="O28" s="46" t="s">
        <v>303</v>
      </c>
      <c r="P28" s="46" t="s">
        <v>304</v>
      </c>
      <c r="Q28" s="46" t="s">
        <v>305</v>
      </c>
      <c r="R28" s="46" t="s">
        <v>306</v>
      </c>
      <c r="S28" s="54" t="s">
        <v>313</v>
      </c>
      <c r="T28" s="54" t="s">
        <v>307</v>
      </c>
      <c r="U28" s="46">
        <v>470</v>
      </c>
      <c r="V28" s="46">
        <v>250</v>
      </c>
      <c r="W28" s="46">
        <v>3</v>
      </c>
      <c r="X28" s="46" t="s">
        <v>308</v>
      </c>
      <c r="Y28" s="46">
        <v>0</v>
      </c>
      <c r="Z28" s="46">
        <v>0</v>
      </c>
      <c r="AA28" s="46">
        <v>2.5</v>
      </c>
      <c r="AB28" s="46">
        <v>291</v>
      </c>
      <c r="AC28" s="46">
        <v>43000</v>
      </c>
      <c r="AD28" s="46" t="s">
        <v>267</v>
      </c>
      <c r="AE28" s="46" t="s">
        <v>309</v>
      </c>
    </row>
    <row r="29" spans="1:31" ht="16.5" customHeight="1">
      <c r="A29" s="46">
        <v>43027</v>
      </c>
      <c r="B29" s="46">
        <v>43000</v>
      </c>
      <c r="C29" s="46" t="s">
        <v>300</v>
      </c>
      <c r="D29" s="46">
        <v>4</v>
      </c>
      <c r="E29" s="46">
        <v>2</v>
      </c>
      <c r="F29" s="46">
        <v>400</v>
      </c>
      <c r="G29" s="46">
        <v>24</v>
      </c>
      <c r="H29" s="46">
        <v>5</v>
      </c>
      <c r="I29" s="46">
        <v>650</v>
      </c>
      <c r="J29" s="46" t="s">
        <v>310</v>
      </c>
      <c r="K29" s="46" t="s">
        <v>317</v>
      </c>
      <c r="L29" s="46" t="s">
        <v>312</v>
      </c>
      <c r="M29" s="46">
        <v>156</v>
      </c>
      <c r="N29" s="46">
        <v>0</v>
      </c>
      <c r="O29" s="46" t="s">
        <v>303</v>
      </c>
      <c r="P29" s="46" t="s">
        <v>304</v>
      </c>
      <c r="Q29" s="46" t="s">
        <v>305</v>
      </c>
      <c r="R29" s="46" t="s">
        <v>306</v>
      </c>
      <c r="S29" s="54" t="s">
        <v>313</v>
      </c>
      <c r="T29" s="54" t="s">
        <v>307</v>
      </c>
      <c r="U29" s="46">
        <v>480</v>
      </c>
      <c r="V29" s="46">
        <v>250</v>
      </c>
      <c r="W29" s="46">
        <v>3</v>
      </c>
      <c r="X29" s="46" t="s">
        <v>308</v>
      </c>
      <c r="Y29" s="46">
        <v>0</v>
      </c>
      <c r="Z29" s="46">
        <v>0</v>
      </c>
      <c r="AA29" s="46">
        <v>2.5</v>
      </c>
      <c r="AB29" s="46">
        <v>304</v>
      </c>
      <c r="AC29" s="46">
        <v>43000</v>
      </c>
      <c r="AD29" s="46" t="s">
        <v>267</v>
      </c>
      <c r="AE29" s="46" t="s">
        <v>309</v>
      </c>
    </row>
    <row r="30" spans="1:31" ht="16.5" customHeight="1">
      <c r="A30" s="46">
        <v>43028</v>
      </c>
      <c r="B30" s="46">
        <v>43000</v>
      </c>
      <c r="C30" s="46" t="s">
        <v>300</v>
      </c>
      <c r="D30" s="46">
        <v>4</v>
      </c>
      <c r="E30" s="46">
        <v>3</v>
      </c>
      <c r="F30" s="46">
        <v>600</v>
      </c>
      <c r="G30" s="46">
        <v>24</v>
      </c>
      <c r="H30" s="46">
        <v>5</v>
      </c>
      <c r="I30" s="46">
        <v>690</v>
      </c>
      <c r="J30" s="46" t="s">
        <v>310</v>
      </c>
      <c r="K30" s="46" t="s">
        <v>317</v>
      </c>
      <c r="L30" s="46" t="s">
        <v>312</v>
      </c>
      <c r="M30" s="46">
        <v>156</v>
      </c>
      <c r="N30" s="46">
        <v>0</v>
      </c>
      <c r="O30" s="46" t="s">
        <v>303</v>
      </c>
      <c r="P30" s="46" t="s">
        <v>304</v>
      </c>
      <c r="Q30" s="46" t="s">
        <v>305</v>
      </c>
      <c r="R30" s="46" t="s">
        <v>306</v>
      </c>
      <c r="S30" s="54" t="s">
        <v>313</v>
      </c>
      <c r="T30" s="54" t="s">
        <v>307</v>
      </c>
      <c r="U30" s="46">
        <v>490</v>
      </c>
      <c r="V30" s="46">
        <v>250</v>
      </c>
      <c r="W30" s="46">
        <v>3</v>
      </c>
      <c r="X30" s="46" t="s">
        <v>308</v>
      </c>
      <c r="Y30" s="46">
        <v>0</v>
      </c>
      <c r="Z30" s="46">
        <v>0</v>
      </c>
      <c r="AA30" s="46">
        <v>2.5</v>
      </c>
      <c r="AB30" s="46">
        <v>317</v>
      </c>
      <c r="AC30" s="46">
        <v>43000</v>
      </c>
      <c r="AD30" s="46" t="s">
        <v>267</v>
      </c>
      <c r="AE30" s="46" t="s">
        <v>309</v>
      </c>
    </row>
    <row r="31" spans="1:31" ht="16.5" customHeight="1">
      <c r="A31" s="46">
        <v>43029</v>
      </c>
      <c r="B31" s="46">
        <v>43000</v>
      </c>
      <c r="C31" s="46" t="s">
        <v>300</v>
      </c>
      <c r="D31" s="46">
        <v>4</v>
      </c>
      <c r="E31" s="46">
        <v>4</v>
      </c>
      <c r="F31" s="46">
        <v>900</v>
      </c>
      <c r="G31" s="46">
        <v>24</v>
      </c>
      <c r="H31" s="46">
        <v>5</v>
      </c>
      <c r="I31" s="46">
        <v>730</v>
      </c>
      <c r="J31" s="46" t="s">
        <v>310</v>
      </c>
      <c r="K31" s="46" t="s">
        <v>317</v>
      </c>
      <c r="L31" s="46" t="s">
        <v>312</v>
      </c>
      <c r="M31" s="46">
        <v>156</v>
      </c>
      <c r="N31" s="46">
        <v>0</v>
      </c>
      <c r="O31" s="46" t="s">
        <v>303</v>
      </c>
      <c r="P31" s="46" t="s">
        <v>304</v>
      </c>
      <c r="Q31" s="46" t="s">
        <v>305</v>
      </c>
      <c r="R31" s="46" t="s">
        <v>306</v>
      </c>
      <c r="S31" s="54" t="s">
        <v>313</v>
      </c>
      <c r="T31" s="54" t="s">
        <v>307</v>
      </c>
      <c r="U31" s="46">
        <v>500</v>
      </c>
      <c r="V31" s="46">
        <v>250</v>
      </c>
      <c r="W31" s="46">
        <v>3</v>
      </c>
      <c r="X31" s="46" t="s">
        <v>308</v>
      </c>
      <c r="Y31" s="46">
        <v>0</v>
      </c>
      <c r="Z31" s="46">
        <v>0</v>
      </c>
      <c r="AA31" s="46">
        <v>2.5</v>
      </c>
      <c r="AB31" s="46">
        <v>330</v>
      </c>
      <c r="AC31" s="46">
        <v>43000</v>
      </c>
      <c r="AD31" s="46" t="s">
        <v>267</v>
      </c>
      <c r="AE31" s="46" t="s">
        <v>309</v>
      </c>
    </row>
    <row r="32" spans="1:31" ht="16.5" customHeight="1">
      <c r="A32" s="46">
        <v>43030</v>
      </c>
      <c r="B32" s="46">
        <v>43000</v>
      </c>
      <c r="C32" s="46" t="s">
        <v>300</v>
      </c>
      <c r="D32" s="46">
        <v>4</v>
      </c>
      <c r="E32" s="46">
        <v>5</v>
      </c>
      <c r="F32" s="46">
        <v>1300</v>
      </c>
      <c r="G32" s="46">
        <v>48</v>
      </c>
      <c r="H32" s="46">
        <v>6</v>
      </c>
      <c r="I32" s="46">
        <v>770</v>
      </c>
      <c r="J32" s="46" t="s">
        <v>310</v>
      </c>
      <c r="K32" s="46" t="s">
        <v>317</v>
      </c>
      <c r="L32" s="46" t="s">
        <v>312</v>
      </c>
      <c r="M32" s="46">
        <v>156</v>
      </c>
      <c r="N32" s="46">
        <v>0</v>
      </c>
      <c r="O32" s="46" t="s">
        <v>303</v>
      </c>
      <c r="P32" s="46" t="s">
        <v>304</v>
      </c>
      <c r="Q32" s="46" t="s">
        <v>305</v>
      </c>
      <c r="R32" s="46" t="s">
        <v>306</v>
      </c>
      <c r="S32" s="54" t="s">
        <v>313</v>
      </c>
      <c r="T32" s="54" t="s">
        <v>307</v>
      </c>
      <c r="U32" s="46">
        <v>510</v>
      </c>
      <c r="V32" s="46">
        <v>250</v>
      </c>
      <c r="W32" s="46">
        <v>3</v>
      </c>
      <c r="X32" s="46" t="s">
        <v>308</v>
      </c>
      <c r="Y32" s="46">
        <v>0</v>
      </c>
      <c r="Z32" s="46">
        <v>0</v>
      </c>
      <c r="AA32" s="46">
        <v>2.5</v>
      </c>
      <c r="AB32" s="46">
        <v>343</v>
      </c>
      <c r="AC32" s="46">
        <v>43000</v>
      </c>
      <c r="AD32" s="46" t="s">
        <v>267</v>
      </c>
      <c r="AE32" s="46" t="s">
        <v>309</v>
      </c>
    </row>
    <row r="33" spans="1:31" ht="16.5" customHeight="1">
      <c r="A33" s="46">
        <v>43031</v>
      </c>
      <c r="B33" s="46">
        <v>43000</v>
      </c>
      <c r="C33" s="46" t="s">
        <v>300</v>
      </c>
      <c r="D33" s="46">
        <v>5</v>
      </c>
      <c r="E33" s="46">
        <v>0</v>
      </c>
      <c r="F33" s="46">
        <v>1800</v>
      </c>
      <c r="G33" s="46">
        <v>48</v>
      </c>
      <c r="H33" s="46">
        <v>6</v>
      </c>
      <c r="I33" s="46">
        <v>830</v>
      </c>
      <c r="J33" s="46" t="s">
        <v>310</v>
      </c>
      <c r="K33" s="46" t="s">
        <v>318</v>
      </c>
      <c r="L33" s="46" t="s">
        <v>312</v>
      </c>
      <c r="M33" s="46">
        <v>156</v>
      </c>
      <c r="N33" s="46">
        <v>0</v>
      </c>
      <c r="O33" s="46" t="s">
        <v>303</v>
      </c>
      <c r="P33" s="46" t="s">
        <v>304</v>
      </c>
      <c r="Q33" s="46" t="s">
        <v>305</v>
      </c>
      <c r="R33" s="46" t="s">
        <v>306</v>
      </c>
      <c r="S33" s="54" t="s">
        <v>313</v>
      </c>
      <c r="T33" s="54" t="s">
        <v>307</v>
      </c>
      <c r="U33" s="46">
        <v>520</v>
      </c>
      <c r="V33" s="46">
        <v>300</v>
      </c>
      <c r="W33" s="46">
        <v>3</v>
      </c>
      <c r="X33" s="46" t="s">
        <v>308</v>
      </c>
      <c r="Y33" s="46">
        <v>0</v>
      </c>
      <c r="Z33" s="46">
        <v>0</v>
      </c>
      <c r="AA33" s="46">
        <v>2.5</v>
      </c>
      <c r="AB33" s="46">
        <v>358</v>
      </c>
      <c r="AC33" s="46">
        <v>43000</v>
      </c>
      <c r="AD33" s="46" t="s">
        <v>267</v>
      </c>
      <c r="AE33" s="46" t="s">
        <v>309</v>
      </c>
    </row>
    <row r="34" spans="1:31" ht="16.5" customHeight="1">
      <c r="A34" s="46">
        <v>43032</v>
      </c>
      <c r="B34" s="46">
        <v>43000</v>
      </c>
      <c r="C34" s="46" t="s">
        <v>300</v>
      </c>
      <c r="D34" s="46">
        <v>5</v>
      </c>
      <c r="E34" s="46">
        <v>1</v>
      </c>
      <c r="F34" s="46">
        <v>2400</v>
      </c>
      <c r="G34" s="46">
        <v>48</v>
      </c>
      <c r="H34" s="46">
        <v>6</v>
      </c>
      <c r="I34" s="46">
        <v>890</v>
      </c>
      <c r="J34" s="46" t="s">
        <v>310</v>
      </c>
      <c r="K34" s="46" t="s">
        <v>318</v>
      </c>
      <c r="L34" s="46" t="s">
        <v>312</v>
      </c>
      <c r="M34" s="46">
        <v>156</v>
      </c>
      <c r="N34" s="46">
        <v>0</v>
      </c>
      <c r="O34" s="46" t="s">
        <v>303</v>
      </c>
      <c r="P34" s="46" t="s">
        <v>304</v>
      </c>
      <c r="Q34" s="46" t="s">
        <v>305</v>
      </c>
      <c r="R34" s="46" t="s">
        <v>306</v>
      </c>
      <c r="S34" s="54" t="s">
        <v>313</v>
      </c>
      <c r="T34" s="54" t="s">
        <v>307</v>
      </c>
      <c r="U34" s="46">
        <v>530</v>
      </c>
      <c r="V34" s="46">
        <v>300</v>
      </c>
      <c r="W34" s="46">
        <v>3</v>
      </c>
      <c r="X34" s="46" t="s">
        <v>308</v>
      </c>
      <c r="Y34" s="46">
        <v>0</v>
      </c>
      <c r="Z34" s="46">
        <v>0</v>
      </c>
      <c r="AA34" s="46">
        <v>2.5</v>
      </c>
      <c r="AB34" s="46">
        <v>373</v>
      </c>
      <c r="AC34" s="46">
        <v>43000</v>
      </c>
      <c r="AD34" s="46" t="s">
        <v>267</v>
      </c>
      <c r="AE34" s="46" t="s">
        <v>309</v>
      </c>
    </row>
    <row r="35" spans="1:31" ht="16.5" customHeight="1">
      <c r="A35" s="46">
        <v>43033</v>
      </c>
      <c r="B35" s="46">
        <v>43000</v>
      </c>
      <c r="C35" s="46" t="s">
        <v>300</v>
      </c>
      <c r="D35" s="46">
        <v>5</v>
      </c>
      <c r="E35" s="46">
        <v>2</v>
      </c>
      <c r="F35" s="46">
        <v>3100</v>
      </c>
      <c r="G35" s="46">
        <v>48</v>
      </c>
      <c r="H35" s="46">
        <v>6</v>
      </c>
      <c r="I35" s="46">
        <v>950</v>
      </c>
      <c r="J35" s="46" t="s">
        <v>310</v>
      </c>
      <c r="K35" s="46" t="s">
        <v>318</v>
      </c>
      <c r="L35" s="46" t="s">
        <v>312</v>
      </c>
      <c r="M35" s="46">
        <v>156</v>
      </c>
      <c r="N35" s="46">
        <v>0</v>
      </c>
      <c r="O35" s="46" t="s">
        <v>303</v>
      </c>
      <c r="P35" s="46" t="s">
        <v>304</v>
      </c>
      <c r="Q35" s="46" t="s">
        <v>305</v>
      </c>
      <c r="R35" s="46" t="s">
        <v>306</v>
      </c>
      <c r="S35" s="54" t="s">
        <v>313</v>
      </c>
      <c r="T35" s="54" t="s">
        <v>307</v>
      </c>
      <c r="U35" s="46">
        <v>540</v>
      </c>
      <c r="V35" s="46">
        <v>300</v>
      </c>
      <c r="W35" s="46">
        <v>3</v>
      </c>
      <c r="X35" s="46" t="s">
        <v>308</v>
      </c>
      <c r="Y35" s="46">
        <v>0</v>
      </c>
      <c r="Z35" s="46">
        <v>0</v>
      </c>
      <c r="AA35" s="46">
        <v>2.5</v>
      </c>
      <c r="AB35" s="46">
        <v>388</v>
      </c>
      <c r="AC35" s="46">
        <v>43000</v>
      </c>
      <c r="AD35" s="46" t="s">
        <v>267</v>
      </c>
      <c r="AE35" s="46" t="s">
        <v>309</v>
      </c>
    </row>
    <row r="36" spans="1:31" ht="16.5" customHeight="1">
      <c r="A36" s="46">
        <v>43034</v>
      </c>
      <c r="B36" s="46">
        <v>43000</v>
      </c>
      <c r="C36" s="46" t="s">
        <v>300</v>
      </c>
      <c r="D36" s="46">
        <v>5</v>
      </c>
      <c r="E36" s="46">
        <v>3</v>
      </c>
      <c r="F36" s="46">
        <v>4000</v>
      </c>
      <c r="G36" s="46">
        <v>48</v>
      </c>
      <c r="H36" s="46">
        <v>6</v>
      </c>
      <c r="I36" s="46">
        <v>1010</v>
      </c>
      <c r="J36" s="46" t="s">
        <v>310</v>
      </c>
      <c r="K36" s="46" t="s">
        <v>318</v>
      </c>
      <c r="L36" s="46" t="s">
        <v>312</v>
      </c>
      <c r="M36" s="46">
        <v>156</v>
      </c>
      <c r="N36" s="46">
        <v>0</v>
      </c>
      <c r="O36" s="46" t="s">
        <v>303</v>
      </c>
      <c r="P36" s="46" t="s">
        <v>304</v>
      </c>
      <c r="Q36" s="46" t="s">
        <v>305</v>
      </c>
      <c r="R36" s="46" t="s">
        <v>306</v>
      </c>
      <c r="S36" s="54" t="s">
        <v>313</v>
      </c>
      <c r="T36" s="54" t="s">
        <v>307</v>
      </c>
      <c r="U36" s="46">
        <v>550</v>
      </c>
      <c r="V36" s="46">
        <v>300</v>
      </c>
      <c r="W36" s="46">
        <v>3</v>
      </c>
      <c r="X36" s="46" t="s">
        <v>308</v>
      </c>
      <c r="Y36" s="46">
        <v>0</v>
      </c>
      <c r="Z36" s="46">
        <v>0</v>
      </c>
      <c r="AA36" s="46">
        <v>2.5</v>
      </c>
      <c r="AB36" s="46">
        <v>403</v>
      </c>
      <c r="AC36" s="46">
        <v>43000</v>
      </c>
      <c r="AD36" s="46" t="s">
        <v>267</v>
      </c>
      <c r="AE36" s="46" t="s">
        <v>309</v>
      </c>
    </row>
    <row r="37" spans="1:31" ht="16.5" customHeight="1">
      <c r="A37" s="46">
        <v>43035</v>
      </c>
      <c r="B37" s="46">
        <v>43000</v>
      </c>
      <c r="C37" s="46" t="s">
        <v>300</v>
      </c>
      <c r="D37" s="46">
        <v>5</v>
      </c>
      <c r="E37" s="46">
        <v>4</v>
      </c>
      <c r="F37" s="46">
        <v>5000</v>
      </c>
      <c r="G37" s="46">
        <v>48</v>
      </c>
      <c r="H37" s="46">
        <v>6</v>
      </c>
      <c r="I37" s="46">
        <v>1070</v>
      </c>
      <c r="J37" s="46" t="s">
        <v>310</v>
      </c>
      <c r="K37" s="46" t="s">
        <v>318</v>
      </c>
      <c r="L37" s="46" t="s">
        <v>312</v>
      </c>
      <c r="M37" s="46">
        <v>156</v>
      </c>
      <c r="N37" s="46">
        <v>0</v>
      </c>
      <c r="O37" s="46" t="s">
        <v>303</v>
      </c>
      <c r="P37" s="46" t="s">
        <v>304</v>
      </c>
      <c r="Q37" s="46" t="s">
        <v>305</v>
      </c>
      <c r="R37" s="46" t="s">
        <v>306</v>
      </c>
      <c r="S37" s="54" t="s">
        <v>313</v>
      </c>
      <c r="T37" s="54" t="s">
        <v>307</v>
      </c>
      <c r="U37" s="46">
        <v>560</v>
      </c>
      <c r="V37" s="46">
        <v>300</v>
      </c>
      <c r="W37" s="46">
        <v>3</v>
      </c>
      <c r="X37" s="46" t="s">
        <v>308</v>
      </c>
      <c r="Y37" s="46">
        <v>0</v>
      </c>
      <c r="Z37" s="46">
        <v>0</v>
      </c>
      <c r="AA37" s="46">
        <v>2.5</v>
      </c>
      <c r="AB37" s="46">
        <v>418</v>
      </c>
      <c r="AC37" s="46">
        <v>43000</v>
      </c>
      <c r="AD37" s="46" t="s">
        <v>267</v>
      </c>
      <c r="AE37" s="46" t="s">
        <v>309</v>
      </c>
    </row>
    <row r="38" spans="1:31" ht="16.5" customHeight="1">
      <c r="A38" s="46">
        <v>43036</v>
      </c>
      <c r="B38" s="46">
        <v>43000</v>
      </c>
      <c r="C38" s="46" t="s">
        <v>300</v>
      </c>
      <c r="D38" s="46">
        <v>5</v>
      </c>
      <c r="E38" s="46">
        <v>5</v>
      </c>
      <c r="F38" s="46">
        <v>0</v>
      </c>
      <c r="G38" s="46">
        <v>0</v>
      </c>
      <c r="H38" s="46">
        <v>6</v>
      </c>
      <c r="I38" s="46">
        <v>1130</v>
      </c>
      <c r="J38" s="46" t="s">
        <v>310</v>
      </c>
      <c r="K38" s="46" t="s">
        <v>318</v>
      </c>
      <c r="L38" s="46" t="s">
        <v>312</v>
      </c>
      <c r="M38" s="46">
        <v>156</v>
      </c>
      <c r="N38" s="46">
        <v>0</v>
      </c>
      <c r="O38" s="46" t="s">
        <v>303</v>
      </c>
      <c r="P38" s="46" t="s">
        <v>304</v>
      </c>
      <c r="Q38" s="46" t="s">
        <v>305</v>
      </c>
      <c r="R38" s="46" t="s">
        <v>306</v>
      </c>
      <c r="S38" s="54" t="s">
        <v>313</v>
      </c>
      <c r="T38" s="54" t="s">
        <v>307</v>
      </c>
      <c r="U38" s="46">
        <v>570</v>
      </c>
      <c r="V38" s="46">
        <v>300</v>
      </c>
      <c r="W38" s="46">
        <v>3</v>
      </c>
      <c r="X38" s="46" t="s">
        <v>308</v>
      </c>
      <c r="Y38" s="46">
        <v>0</v>
      </c>
      <c r="Z38" s="46">
        <v>0</v>
      </c>
      <c r="AA38" s="46">
        <v>2.5</v>
      </c>
      <c r="AB38" s="46">
        <v>433</v>
      </c>
      <c r="AC38" s="46">
        <v>43000</v>
      </c>
      <c r="AD38" s="46" t="s">
        <v>267</v>
      </c>
      <c r="AE38" s="46" t="s">
        <v>309</v>
      </c>
    </row>
    <row r="39" spans="1:31" ht="16.5" customHeight="1">
      <c r="A39" s="46">
        <v>43101</v>
      </c>
      <c r="B39" s="46">
        <v>43100</v>
      </c>
      <c r="C39" s="46" t="s">
        <v>300</v>
      </c>
      <c r="D39" s="46">
        <v>0</v>
      </c>
      <c r="E39" s="46">
        <v>0</v>
      </c>
      <c r="F39" s="46">
        <v>7</v>
      </c>
      <c r="G39" s="46">
        <v>1</v>
      </c>
      <c r="H39" s="46">
        <v>2</v>
      </c>
      <c r="I39" s="46">
        <v>60</v>
      </c>
      <c r="J39" s="46" t="s">
        <v>319</v>
      </c>
      <c r="K39" s="46" t="s">
        <v>320</v>
      </c>
      <c r="L39" s="46" t="s">
        <v>312</v>
      </c>
      <c r="M39" s="46">
        <v>156</v>
      </c>
      <c r="N39" s="46">
        <v>0</v>
      </c>
      <c r="O39" s="46" t="s">
        <v>303</v>
      </c>
      <c r="P39" s="46" t="s">
        <v>304</v>
      </c>
      <c r="Q39" s="46" t="s">
        <v>305</v>
      </c>
      <c r="R39" s="46" t="s">
        <v>306</v>
      </c>
      <c r="S39" s="54" t="s">
        <v>313</v>
      </c>
      <c r="T39" s="54" t="s">
        <v>307</v>
      </c>
      <c r="U39" s="46">
        <v>100</v>
      </c>
      <c r="V39" s="46">
        <v>200</v>
      </c>
      <c r="W39" s="46">
        <v>3</v>
      </c>
      <c r="X39" s="46" t="s">
        <v>308</v>
      </c>
      <c r="Y39" s="46">
        <v>0</v>
      </c>
      <c r="Z39" s="46">
        <v>0</v>
      </c>
      <c r="AA39" s="46">
        <v>3.5</v>
      </c>
      <c r="AB39" s="46">
        <v>80</v>
      </c>
      <c r="AC39" s="46">
        <v>43100</v>
      </c>
      <c r="AD39" s="46" t="s">
        <v>267</v>
      </c>
      <c r="AE39" s="46" t="s">
        <v>309</v>
      </c>
    </row>
    <row r="40" spans="1:31" ht="16.5" customHeight="1">
      <c r="A40" s="46">
        <v>43102</v>
      </c>
      <c r="B40" s="46">
        <v>43100</v>
      </c>
      <c r="C40" s="46" t="s">
        <v>300</v>
      </c>
      <c r="D40" s="46">
        <v>0</v>
      </c>
      <c r="E40" s="46">
        <v>1</v>
      </c>
      <c r="F40" s="46">
        <v>7</v>
      </c>
      <c r="G40" s="46">
        <v>1</v>
      </c>
      <c r="H40" s="46">
        <v>2</v>
      </c>
      <c r="I40" s="46">
        <v>65</v>
      </c>
      <c r="J40" s="46" t="s">
        <v>319</v>
      </c>
      <c r="K40" s="46" t="s">
        <v>320</v>
      </c>
      <c r="L40" s="46" t="s">
        <v>312</v>
      </c>
      <c r="M40" s="46">
        <v>156</v>
      </c>
      <c r="N40" s="46">
        <v>0</v>
      </c>
      <c r="O40" s="46" t="s">
        <v>303</v>
      </c>
      <c r="P40" s="46" t="s">
        <v>304</v>
      </c>
      <c r="Q40" s="46" t="s">
        <v>305</v>
      </c>
      <c r="R40" s="46" t="s">
        <v>306</v>
      </c>
      <c r="S40" s="54" t="s">
        <v>313</v>
      </c>
      <c r="T40" s="54" t="s">
        <v>307</v>
      </c>
      <c r="U40" s="46">
        <v>115</v>
      </c>
      <c r="V40" s="46">
        <v>200</v>
      </c>
      <c r="W40" s="46">
        <v>3</v>
      </c>
      <c r="X40" s="46" t="s">
        <v>308</v>
      </c>
      <c r="Y40" s="46">
        <v>0</v>
      </c>
      <c r="Z40" s="46">
        <v>0</v>
      </c>
      <c r="AA40" s="46">
        <v>3.5</v>
      </c>
      <c r="AB40" s="46">
        <v>85</v>
      </c>
      <c r="AC40" s="46">
        <v>43100</v>
      </c>
      <c r="AD40" s="46" t="s">
        <v>267</v>
      </c>
      <c r="AE40" s="46" t="s">
        <v>309</v>
      </c>
    </row>
    <row r="41" spans="1:31" ht="16.5" customHeight="1">
      <c r="A41" s="46">
        <v>43103</v>
      </c>
      <c r="B41" s="46">
        <v>43100</v>
      </c>
      <c r="C41" s="46" t="s">
        <v>300</v>
      </c>
      <c r="D41" s="46">
        <v>0</v>
      </c>
      <c r="E41" s="46">
        <v>2</v>
      </c>
      <c r="F41" s="46">
        <v>7</v>
      </c>
      <c r="G41" s="46">
        <v>1</v>
      </c>
      <c r="H41" s="46">
        <v>2</v>
      </c>
      <c r="I41" s="46">
        <v>70</v>
      </c>
      <c r="J41" s="46" t="s">
        <v>319</v>
      </c>
      <c r="K41" s="46" t="s">
        <v>320</v>
      </c>
      <c r="L41" s="46" t="s">
        <v>312</v>
      </c>
      <c r="M41" s="46">
        <v>156</v>
      </c>
      <c r="N41" s="46">
        <v>0</v>
      </c>
      <c r="O41" s="46" t="s">
        <v>303</v>
      </c>
      <c r="P41" s="46" t="s">
        <v>304</v>
      </c>
      <c r="Q41" s="46" t="s">
        <v>305</v>
      </c>
      <c r="R41" s="46" t="s">
        <v>306</v>
      </c>
      <c r="S41" s="54" t="s">
        <v>313</v>
      </c>
      <c r="T41" s="54" t="s">
        <v>307</v>
      </c>
      <c r="U41" s="46">
        <v>130</v>
      </c>
      <c r="V41" s="46">
        <v>200</v>
      </c>
      <c r="W41" s="46">
        <v>3</v>
      </c>
      <c r="X41" s="46" t="s">
        <v>308</v>
      </c>
      <c r="Y41" s="46">
        <v>0</v>
      </c>
      <c r="Z41" s="46">
        <v>0</v>
      </c>
      <c r="AA41" s="46">
        <v>3.5</v>
      </c>
      <c r="AB41" s="46">
        <v>90</v>
      </c>
      <c r="AC41" s="46">
        <v>43100</v>
      </c>
      <c r="AD41" s="46" t="s">
        <v>267</v>
      </c>
      <c r="AE41" s="46" t="s">
        <v>309</v>
      </c>
    </row>
    <row r="42" spans="1:31" ht="16.5" customHeight="1">
      <c r="A42" s="46">
        <v>43104</v>
      </c>
      <c r="B42" s="46">
        <v>43100</v>
      </c>
      <c r="C42" s="46" t="s">
        <v>300</v>
      </c>
      <c r="D42" s="46">
        <v>0</v>
      </c>
      <c r="E42" s="46">
        <v>3</v>
      </c>
      <c r="F42" s="46">
        <v>7</v>
      </c>
      <c r="G42" s="46">
        <v>1</v>
      </c>
      <c r="H42" s="46">
        <v>2</v>
      </c>
      <c r="I42" s="46">
        <v>75</v>
      </c>
      <c r="J42" s="46" t="s">
        <v>319</v>
      </c>
      <c r="K42" s="46" t="s">
        <v>320</v>
      </c>
      <c r="L42" s="46" t="s">
        <v>312</v>
      </c>
      <c r="M42" s="46">
        <v>156</v>
      </c>
      <c r="N42" s="46">
        <v>0</v>
      </c>
      <c r="O42" s="46" t="s">
        <v>303</v>
      </c>
      <c r="P42" s="46" t="s">
        <v>304</v>
      </c>
      <c r="Q42" s="46" t="s">
        <v>305</v>
      </c>
      <c r="R42" s="46" t="s">
        <v>306</v>
      </c>
      <c r="S42" s="54" t="s">
        <v>313</v>
      </c>
      <c r="T42" s="54" t="s">
        <v>307</v>
      </c>
      <c r="U42" s="46">
        <v>145</v>
      </c>
      <c r="V42" s="46">
        <v>200</v>
      </c>
      <c r="W42" s="46">
        <v>3</v>
      </c>
      <c r="X42" s="46" t="s">
        <v>308</v>
      </c>
      <c r="Y42" s="46">
        <v>0</v>
      </c>
      <c r="Z42" s="46">
        <v>0</v>
      </c>
      <c r="AA42" s="46">
        <v>3.5</v>
      </c>
      <c r="AB42" s="46">
        <v>95</v>
      </c>
      <c r="AC42" s="46">
        <v>43100</v>
      </c>
      <c r="AD42" s="46" t="s">
        <v>267</v>
      </c>
      <c r="AE42" s="46" t="s">
        <v>309</v>
      </c>
    </row>
    <row r="43" spans="1:31" ht="16.5" customHeight="1">
      <c r="A43" s="46">
        <v>43105</v>
      </c>
      <c r="B43" s="46">
        <v>43100</v>
      </c>
      <c r="C43" s="46" t="s">
        <v>300</v>
      </c>
      <c r="D43" s="46">
        <v>0</v>
      </c>
      <c r="E43" s="46">
        <v>4</v>
      </c>
      <c r="F43" s="46">
        <v>7</v>
      </c>
      <c r="G43" s="46">
        <v>1</v>
      </c>
      <c r="H43" s="46">
        <v>2</v>
      </c>
      <c r="I43" s="46">
        <v>80</v>
      </c>
      <c r="J43" s="46" t="s">
        <v>319</v>
      </c>
      <c r="K43" s="46" t="s">
        <v>320</v>
      </c>
      <c r="L43" s="46" t="s">
        <v>312</v>
      </c>
      <c r="M43" s="46">
        <v>156</v>
      </c>
      <c r="N43" s="46">
        <v>0</v>
      </c>
      <c r="O43" s="46" t="s">
        <v>303</v>
      </c>
      <c r="P43" s="46" t="s">
        <v>304</v>
      </c>
      <c r="Q43" s="46" t="s">
        <v>305</v>
      </c>
      <c r="R43" s="46" t="s">
        <v>306</v>
      </c>
      <c r="S43" s="54" t="s">
        <v>313</v>
      </c>
      <c r="T43" s="54" t="s">
        <v>307</v>
      </c>
      <c r="U43" s="46">
        <v>160</v>
      </c>
      <c r="V43" s="46">
        <v>200</v>
      </c>
      <c r="W43" s="46">
        <v>3</v>
      </c>
      <c r="X43" s="46" t="s">
        <v>308</v>
      </c>
      <c r="Y43" s="46">
        <v>0</v>
      </c>
      <c r="Z43" s="46">
        <v>0</v>
      </c>
      <c r="AA43" s="46">
        <v>3.5</v>
      </c>
      <c r="AB43" s="46">
        <v>100</v>
      </c>
      <c r="AC43" s="46">
        <v>43100</v>
      </c>
      <c r="AD43" s="46" t="s">
        <v>267</v>
      </c>
      <c r="AE43" s="46" t="s">
        <v>309</v>
      </c>
    </row>
    <row r="44" spans="1:31" ht="16.5" customHeight="1">
      <c r="A44" s="46">
        <v>43106</v>
      </c>
      <c r="B44" s="46">
        <v>43100</v>
      </c>
      <c r="C44" s="46" t="s">
        <v>300</v>
      </c>
      <c r="D44" s="46">
        <v>0</v>
      </c>
      <c r="E44" s="46">
        <v>5</v>
      </c>
      <c r="F44" s="46">
        <v>15</v>
      </c>
      <c r="G44" s="46">
        <v>1</v>
      </c>
      <c r="H44" s="46">
        <v>2</v>
      </c>
      <c r="I44" s="46">
        <v>85</v>
      </c>
      <c r="J44" s="46" t="s">
        <v>319</v>
      </c>
      <c r="K44" s="46" t="s">
        <v>320</v>
      </c>
      <c r="L44" s="46" t="s">
        <v>312</v>
      </c>
      <c r="M44" s="46">
        <v>156</v>
      </c>
      <c r="N44" s="46">
        <v>0</v>
      </c>
      <c r="O44" s="46" t="s">
        <v>303</v>
      </c>
      <c r="P44" s="46" t="s">
        <v>304</v>
      </c>
      <c r="Q44" s="46" t="s">
        <v>305</v>
      </c>
      <c r="R44" s="46" t="s">
        <v>306</v>
      </c>
      <c r="S44" s="54" t="s">
        <v>313</v>
      </c>
      <c r="T44" s="54" t="s">
        <v>307</v>
      </c>
      <c r="U44" s="46">
        <v>175</v>
      </c>
      <c r="V44" s="46">
        <v>200</v>
      </c>
      <c r="W44" s="46">
        <v>3</v>
      </c>
      <c r="X44" s="46" t="s">
        <v>308</v>
      </c>
      <c r="Y44" s="46">
        <v>0</v>
      </c>
      <c r="Z44" s="46">
        <v>0</v>
      </c>
      <c r="AA44" s="46">
        <v>3.5</v>
      </c>
      <c r="AB44" s="46">
        <v>105</v>
      </c>
      <c r="AC44" s="46">
        <v>43100</v>
      </c>
      <c r="AD44" s="46" t="s">
        <v>267</v>
      </c>
      <c r="AE44" s="46" t="s">
        <v>309</v>
      </c>
    </row>
    <row r="45" spans="1:31" ht="16.5" customHeight="1">
      <c r="A45" s="46">
        <v>43107</v>
      </c>
      <c r="B45" s="46">
        <v>43100</v>
      </c>
      <c r="C45" s="46" t="s">
        <v>300</v>
      </c>
      <c r="D45" s="46">
        <v>1</v>
      </c>
      <c r="E45" s="46">
        <v>0</v>
      </c>
      <c r="F45" s="46">
        <v>15</v>
      </c>
      <c r="G45" s="46">
        <v>2</v>
      </c>
      <c r="H45" s="46">
        <v>2</v>
      </c>
      <c r="I45" s="46">
        <v>95</v>
      </c>
      <c r="J45" s="46" t="s">
        <v>319</v>
      </c>
      <c r="K45" s="46" t="s">
        <v>321</v>
      </c>
      <c r="L45" s="46" t="s">
        <v>312</v>
      </c>
      <c r="M45" s="46">
        <v>156</v>
      </c>
      <c r="N45" s="46">
        <v>0</v>
      </c>
      <c r="O45" s="46" t="s">
        <v>303</v>
      </c>
      <c r="P45" s="46" t="s">
        <v>304</v>
      </c>
      <c r="Q45" s="46" t="s">
        <v>305</v>
      </c>
      <c r="R45" s="46" t="s">
        <v>306</v>
      </c>
      <c r="S45" s="54" t="s">
        <v>313</v>
      </c>
      <c r="T45" s="54" t="s">
        <v>307</v>
      </c>
      <c r="U45" s="46">
        <v>190</v>
      </c>
      <c r="V45" s="46">
        <v>220</v>
      </c>
      <c r="W45" s="46">
        <v>3</v>
      </c>
      <c r="X45" s="46" t="s">
        <v>308</v>
      </c>
      <c r="Y45" s="46">
        <v>0</v>
      </c>
      <c r="Z45" s="46">
        <v>0</v>
      </c>
      <c r="AA45" s="46">
        <v>3.5</v>
      </c>
      <c r="AB45" s="46">
        <v>110</v>
      </c>
      <c r="AC45" s="46">
        <v>43100</v>
      </c>
      <c r="AD45" s="46" t="s">
        <v>267</v>
      </c>
      <c r="AE45" s="46" t="s">
        <v>309</v>
      </c>
    </row>
    <row r="46" spans="1:31" ht="16.5" customHeight="1">
      <c r="A46" s="46">
        <v>43108</v>
      </c>
      <c r="B46" s="46">
        <v>43100</v>
      </c>
      <c r="C46" s="46" t="s">
        <v>300</v>
      </c>
      <c r="D46" s="46">
        <v>1</v>
      </c>
      <c r="E46" s="46">
        <v>1</v>
      </c>
      <c r="F46" s="46">
        <v>15</v>
      </c>
      <c r="G46" s="46">
        <v>2</v>
      </c>
      <c r="H46" s="46">
        <v>2</v>
      </c>
      <c r="I46" s="46">
        <v>105</v>
      </c>
      <c r="J46" s="46" t="s">
        <v>319</v>
      </c>
      <c r="K46" s="46" t="s">
        <v>321</v>
      </c>
      <c r="L46" s="46" t="s">
        <v>312</v>
      </c>
      <c r="M46" s="46">
        <v>156</v>
      </c>
      <c r="N46" s="46">
        <v>0</v>
      </c>
      <c r="O46" s="46" t="s">
        <v>303</v>
      </c>
      <c r="P46" s="46" t="s">
        <v>304</v>
      </c>
      <c r="Q46" s="46" t="s">
        <v>305</v>
      </c>
      <c r="R46" s="46" t="s">
        <v>306</v>
      </c>
      <c r="S46" s="54" t="s">
        <v>313</v>
      </c>
      <c r="T46" s="54" t="s">
        <v>307</v>
      </c>
      <c r="U46" s="46">
        <v>205</v>
      </c>
      <c r="V46" s="46">
        <v>220</v>
      </c>
      <c r="W46" s="46">
        <v>3</v>
      </c>
      <c r="X46" s="46" t="s">
        <v>308</v>
      </c>
      <c r="Y46" s="46">
        <v>0</v>
      </c>
      <c r="Z46" s="46">
        <v>0</v>
      </c>
      <c r="AA46" s="46">
        <v>3.5</v>
      </c>
      <c r="AB46" s="46">
        <v>115</v>
      </c>
      <c r="AC46" s="46">
        <v>43100</v>
      </c>
      <c r="AD46" s="46" t="s">
        <v>267</v>
      </c>
      <c r="AE46" s="46" t="s">
        <v>309</v>
      </c>
    </row>
    <row r="47" spans="1:31" ht="16.5" customHeight="1">
      <c r="A47" s="46">
        <v>43109</v>
      </c>
      <c r="B47" s="46">
        <v>43100</v>
      </c>
      <c r="C47" s="46" t="s">
        <v>300</v>
      </c>
      <c r="D47" s="46">
        <v>1</v>
      </c>
      <c r="E47" s="46">
        <v>2</v>
      </c>
      <c r="F47" s="46">
        <v>15</v>
      </c>
      <c r="G47" s="46">
        <v>2</v>
      </c>
      <c r="H47" s="46">
        <v>2</v>
      </c>
      <c r="I47" s="46">
        <v>115</v>
      </c>
      <c r="J47" s="46" t="s">
        <v>319</v>
      </c>
      <c r="K47" s="46" t="s">
        <v>321</v>
      </c>
      <c r="L47" s="46" t="s">
        <v>312</v>
      </c>
      <c r="M47" s="46">
        <v>156</v>
      </c>
      <c r="N47" s="46">
        <v>0</v>
      </c>
      <c r="O47" s="46" t="s">
        <v>303</v>
      </c>
      <c r="P47" s="46" t="s">
        <v>304</v>
      </c>
      <c r="Q47" s="46" t="s">
        <v>305</v>
      </c>
      <c r="R47" s="46" t="s">
        <v>306</v>
      </c>
      <c r="S47" s="54" t="s">
        <v>313</v>
      </c>
      <c r="T47" s="54" t="s">
        <v>307</v>
      </c>
      <c r="U47" s="46">
        <v>220</v>
      </c>
      <c r="V47" s="46">
        <v>220</v>
      </c>
      <c r="W47" s="46">
        <v>3</v>
      </c>
      <c r="X47" s="46" t="s">
        <v>308</v>
      </c>
      <c r="Y47" s="46">
        <v>0</v>
      </c>
      <c r="Z47" s="46">
        <v>0</v>
      </c>
      <c r="AA47" s="46">
        <v>3.5</v>
      </c>
      <c r="AB47" s="46">
        <v>120</v>
      </c>
      <c r="AC47" s="46">
        <v>43100</v>
      </c>
      <c r="AD47" s="46" t="s">
        <v>267</v>
      </c>
      <c r="AE47" s="46" t="s">
        <v>309</v>
      </c>
    </row>
    <row r="48" spans="1:31" ht="16.5" customHeight="1">
      <c r="A48" s="46">
        <v>43110</v>
      </c>
      <c r="B48" s="46">
        <v>43100</v>
      </c>
      <c r="C48" s="46" t="s">
        <v>300</v>
      </c>
      <c r="D48" s="46">
        <v>1</v>
      </c>
      <c r="E48" s="46">
        <v>3</v>
      </c>
      <c r="F48" s="46">
        <v>15</v>
      </c>
      <c r="G48" s="46">
        <v>2</v>
      </c>
      <c r="H48" s="46">
        <v>2</v>
      </c>
      <c r="I48" s="46">
        <v>125</v>
      </c>
      <c r="J48" s="46" t="s">
        <v>319</v>
      </c>
      <c r="K48" s="46" t="s">
        <v>321</v>
      </c>
      <c r="L48" s="46" t="s">
        <v>312</v>
      </c>
      <c r="M48" s="46">
        <v>156</v>
      </c>
      <c r="N48" s="46">
        <v>0</v>
      </c>
      <c r="O48" s="46" t="s">
        <v>303</v>
      </c>
      <c r="P48" s="46" t="s">
        <v>304</v>
      </c>
      <c r="Q48" s="46" t="s">
        <v>305</v>
      </c>
      <c r="R48" s="46" t="s">
        <v>306</v>
      </c>
      <c r="S48" s="54" t="s">
        <v>313</v>
      </c>
      <c r="T48" s="54" t="s">
        <v>307</v>
      </c>
      <c r="U48" s="46">
        <v>235</v>
      </c>
      <c r="V48" s="46">
        <v>220</v>
      </c>
      <c r="W48" s="46">
        <v>3</v>
      </c>
      <c r="X48" s="46" t="s">
        <v>308</v>
      </c>
      <c r="Y48" s="46">
        <v>0</v>
      </c>
      <c r="Z48" s="46">
        <v>0</v>
      </c>
      <c r="AA48" s="46">
        <v>3.5</v>
      </c>
      <c r="AB48" s="46">
        <v>125</v>
      </c>
      <c r="AC48" s="46">
        <v>43100</v>
      </c>
      <c r="AD48" s="46" t="s">
        <v>267</v>
      </c>
      <c r="AE48" s="46" t="s">
        <v>309</v>
      </c>
    </row>
    <row r="49" spans="1:31" ht="16.5" customHeight="1">
      <c r="A49" s="46">
        <v>43111</v>
      </c>
      <c r="B49" s="46">
        <v>43100</v>
      </c>
      <c r="C49" s="46" t="s">
        <v>300</v>
      </c>
      <c r="D49" s="46">
        <v>1</v>
      </c>
      <c r="E49" s="46">
        <v>4</v>
      </c>
      <c r="F49" s="46">
        <v>15</v>
      </c>
      <c r="G49" s="46">
        <v>2</v>
      </c>
      <c r="H49" s="46">
        <v>2</v>
      </c>
      <c r="I49" s="46">
        <v>135</v>
      </c>
      <c r="J49" s="46" t="s">
        <v>319</v>
      </c>
      <c r="K49" s="46" t="s">
        <v>321</v>
      </c>
      <c r="L49" s="46" t="s">
        <v>312</v>
      </c>
      <c r="M49" s="46">
        <v>156</v>
      </c>
      <c r="N49" s="46">
        <v>0</v>
      </c>
      <c r="O49" s="46" t="s">
        <v>303</v>
      </c>
      <c r="P49" s="46" t="s">
        <v>304</v>
      </c>
      <c r="Q49" s="46" t="s">
        <v>305</v>
      </c>
      <c r="R49" s="46" t="s">
        <v>306</v>
      </c>
      <c r="S49" s="54" t="s">
        <v>313</v>
      </c>
      <c r="T49" s="54" t="s">
        <v>307</v>
      </c>
      <c r="U49" s="46">
        <v>250</v>
      </c>
      <c r="V49" s="46">
        <v>220</v>
      </c>
      <c r="W49" s="46">
        <v>3</v>
      </c>
      <c r="X49" s="46" t="s">
        <v>308</v>
      </c>
      <c r="Y49" s="46">
        <v>0</v>
      </c>
      <c r="Z49" s="46">
        <v>0</v>
      </c>
      <c r="AA49" s="46">
        <v>3.5</v>
      </c>
      <c r="AB49" s="46">
        <v>130</v>
      </c>
      <c r="AC49" s="46">
        <v>43100</v>
      </c>
      <c r="AD49" s="46" t="s">
        <v>267</v>
      </c>
      <c r="AE49" s="46" t="s">
        <v>309</v>
      </c>
    </row>
    <row r="50" spans="1:31" ht="16.5" customHeight="1">
      <c r="A50" s="46">
        <v>43112</v>
      </c>
      <c r="B50" s="46">
        <v>43100</v>
      </c>
      <c r="C50" s="46" t="s">
        <v>300</v>
      </c>
      <c r="D50" s="46">
        <v>1</v>
      </c>
      <c r="E50" s="46">
        <v>5</v>
      </c>
      <c r="F50" s="46">
        <v>23</v>
      </c>
      <c r="G50" s="46">
        <v>2</v>
      </c>
      <c r="H50" s="46">
        <v>3</v>
      </c>
      <c r="I50" s="46">
        <v>145</v>
      </c>
      <c r="J50" s="46" t="s">
        <v>319</v>
      </c>
      <c r="K50" s="46" t="s">
        <v>321</v>
      </c>
      <c r="L50" s="46" t="s">
        <v>312</v>
      </c>
      <c r="M50" s="46">
        <v>156</v>
      </c>
      <c r="N50" s="46">
        <v>0</v>
      </c>
      <c r="O50" s="46" t="s">
        <v>303</v>
      </c>
      <c r="P50" s="46" t="s">
        <v>304</v>
      </c>
      <c r="Q50" s="46" t="s">
        <v>305</v>
      </c>
      <c r="R50" s="46" t="s">
        <v>306</v>
      </c>
      <c r="S50" s="54" t="s">
        <v>313</v>
      </c>
      <c r="T50" s="54" t="s">
        <v>307</v>
      </c>
      <c r="U50" s="46">
        <v>265</v>
      </c>
      <c r="V50" s="46">
        <v>220</v>
      </c>
      <c r="W50" s="46">
        <v>3</v>
      </c>
      <c r="X50" s="46" t="s">
        <v>308</v>
      </c>
      <c r="Y50" s="46">
        <v>0</v>
      </c>
      <c r="Z50" s="46">
        <v>0</v>
      </c>
      <c r="AA50" s="46">
        <v>3.5</v>
      </c>
      <c r="AB50" s="46">
        <v>135</v>
      </c>
      <c r="AC50" s="46">
        <v>43100</v>
      </c>
      <c r="AD50" s="46" t="s">
        <v>267</v>
      </c>
      <c r="AE50" s="46" t="s">
        <v>309</v>
      </c>
    </row>
    <row r="51" spans="1:31" ht="16.5" customHeight="1">
      <c r="A51" s="46">
        <v>43113</v>
      </c>
      <c r="B51" s="46">
        <v>43100</v>
      </c>
      <c r="C51" s="46" t="s">
        <v>300</v>
      </c>
      <c r="D51" s="46">
        <v>2</v>
      </c>
      <c r="E51" s="46">
        <v>0</v>
      </c>
      <c r="F51" s="46">
        <v>23</v>
      </c>
      <c r="G51" s="46">
        <v>4</v>
      </c>
      <c r="H51" s="46">
        <v>3</v>
      </c>
      <c r="I51" s="46">
        <v>160</v>
      </c>
      <c r="J51" s="46" t="s">
        <v>319</v>
      </c>
      <c r="K51" s="46" t="s">
        <v>322</v>
      </c>
      <c r="L51" s="46" t="s">
        <v>312</v>
      </c>
      <c r="M51" s="46">
        <v>156</v>
      </c>
      <c r="N51" s="46">
        <v>0</v>
      </c>
      <c r="O51" s="46" t="s">
        <v>303</v>
      </c>
      <c r="P51" s="46" t="s">
        <v>304</v>
      </c>
      <c r="Q51" s="46" t="s">
        <v>305</v>
      </c>
      <c r="R51" s="46" t="s">
        <v>306</v>
      </c>
      <c r="S51" s="54" t="s">
        <v>313</v>
      </c>
      <c r="T51" s="54" t="s">
        <v>307</v>
      </c>
      <c r="U51" s="46">
        <v>280</v>
      </c>
      <c r="V51" s="46">
        <v>240</v>
      </c>
      <c r="W51" s="46">
        <v>3</v>
      </c>
      <c r="X51" s="46" t="s">
        <v>308</v>
      </c>
      <c r="Y51" s="46">
        <v>0</v>
      </c>
      <c r="Z51" s="46">
        <v>0</v>
      </c>
      <c r="AA51" s="46">
        <v>3.5</v>
      </c>
      <c r="AB51" s="46">
        <v>145</v>
      </c>
      <c r="AC51" s="46">
        <v>43100</v>
      </c>
      <c r="AD51" s="46" t="s">
        <v>267</v>
      </c>
      <c r="AE51" s="46" t="s">
        <v>309</v>
      </c>
    </row>
    <row r="52" spans="1:31" ht="16.5" customHeight="1">
      <c r="A52" s="46">
        <v>43114</v>
      </c>
      <c r="B52" s="46">
        <v>43100</v>
      </c>
      <c r="C52" s="46" t="s">
        <v>300</v>
      </c>
      <c r="D52" s="46">
        <v>2</v>
      </c>
      <c r="E52" s="46">
        <v>1</v>
      </c>
      <c r="F52" s="46">
        <v>23</v>
      </c>
      <c r="G52" s="46">
        <v>4</v>
      </c>
      <c r="H52" s="46">
        <v>3</v>
      </c>
      <c r="I52" s="46">
        <v>175</v>
      </c>
      <c r="J52" s="46" t="s">
        <v>319</v>
      </c>
      <c r="K52" s="46" t="s">
        <v>322</v>
      </c>
      <c r="L52" s="46" t="s">
        <v>312</v>
      </c>
      <c r="M52" s="46">
        <v>156</v>
      </c>
      <c r="N52" s="46">
        <v>0</v>
      </c>
      <c r="O52" s="46" t="s">
        <v>303</v>
      </c>
      <c r="P52" s="46" t="s">
        <v>304</v>
      </c>
      <c r="Q52" s="46" t="s">
        <v>305</v>
      </c>
      <c r="R52" s="46" t="s">
        <v>306</v>
      </c>
      <c r="S52" s="54" t="s">
        <v>313</v>
      </c>
      <c r="T52" s="54" t="s">
        <v>307</v>
      </c>
      <c r="U52" s="46">
        <v>295</v>
      </c>
      <c r="V52" s="46">
        <v>240</v>
      </c>
      <c r="W52" s="46">
        <v>3</v>
      </c>
      <c r="X52" s="46" t="s">
        <v>308</v>
      </c>
      <c r="Y52" s="46">
        <v>0</v>
      </c>
      <c r="Z52" s="46">
        <v>0</v>
      </c>
      <c r="AA52" s="46">
        <v>3.5</v>
      </c>
      <c r="AB52" s="46">
        <v>155</v>
      </c>
      <c r="AC52" s="46">
        <v>43100</v>
      </c>
      <c r="AD52" s="46" t="s">
        <v>267</v>
      </c>
      <c r="AE52" s="46" t="s">
        <v>309</v>
      </c>
    </row>
    <row r="53" spans="1:31" ht="16.5" customHeight="1">
      <c r="A53" s="46">
        <v>43115</v>
      </c>
      <c r="B53" s="46">
        <v>43100</v>
      </c>
      <c r="C53" s="46" t="s">
        <v>300</v>
      </c>
      <c r="D53" s="46">
        <v>2</v>
      </c>
      <c r="E53" s="46">
        <v>2</v>
      </c>
      <c r="F53" s="46">
        <v>23</v>
      </c>
      <c r="G53" s="46">
        <v>4</v>
      </c>
      <c r="H53" s="46">
        <v>3</v>
      </c>
      <c r="I53" s="46">
        <v>190</v>
      </c>
      <c r="J53" s="46" t="s">
        <v>319</v>
      </c>
      <c r="K53" s="46" t="s">
        <v>322</v>
      </c>
      <c r="L53" s="46" t="s">
        <v>312</v>
      </c>
      <c r="M53" s="46">
        <v>156</v>
      </c>
      <c r="N53" s="46">
        <v>0</v>
      </c>
      <c r="O53" s="46" t="s">
        <v>303</v>
      </c>
      <c r="P53" s="46" t="s">
        <v>304</v>
      </c>
      <c r="Q53" s="46" t="s">
        <v>305</v>
      </c>
      <c r="R53" s="46" t="s">
        <v>306</v>
      </c>
      <c r="S53" s="54" t="s">
        <v>313</v>
      </c>
      <c r="T53" s="54" t="s">
        <v>307</v>
      </c>
      <c r="U53" s="46">
        <v>310</v>
      </c>
      <c r="V53" s="46">
        <v>240</v>
      </c>
      <c r="W53" s="46">
        <v>3</v>
      </c>
      <c r="X53" s="46" t="s">
        <v>308</v>
      </c>
      <c r="Y53" s="46">
        <v>0</v>
      </c>
      <c r="Z53" s="46">
        <v>0</v>
      </c>
      <c r="AA53" s="46">
        <v>3.5</v>
      </c>
      <c r="AB53" s="46">
        <v>165</v>
      </c>
      <c r="AC53" s="46">
        <v>43100</v>
      </c>
      <c r="AD53" s="46" t="s">
        <v>267</v>
      </c>
      <c r="AE53" s="46" t="s">
        <v>309</v>
      </c>
    </row>
    <row r="54" spans="1:31" ht="16.5" customHeight="1">
      <c r="A54" s="46">
        <v>43116</v>
      </c>
      <c r="B54" s="46">
        <v>43100</v>
      </c>
      <c r="C54" s="46" t="s">
        <v>300</v>
      </c>
      <c r="D54" s="46">
        <v>2</v>
      </c>
      <c r="E54" s="46">
        <v>3</v>
      </c>
      <c r="F54" s="46">
        <v>23</v>
      </c>
      <c r="G54" s="46">
        <v>4</v>
      </c>
      <c r="H54" s="46">
        <v>3</v>
      </c>
      <c r="I54" s="46">
        <v>205</v>
      </c>
      <c r="J54" s="46" t="s">
        <v>319</v>
      </c>
      <c r="K54" s="46" t="s">
        <v>322</v>
      </c>
      <c r="L54" s="46" t="s">
        <v>312</v>
      </c>
      <c r="M54" s="46">
        <v>156</v>
      </c>
      <c r="N54" s="46">
        <v>0</v>
      </c>
      <c r="O54" s="46" t="s">
        <v>303</v>
      </c>
      <c r="P54" s="46" t="s">
        <v>304</v>
      </c>
      <c r="Q54" s="46" t="s">
        <v>305</v>
      </c>
      <c r="R54" s="46" t="s">
        <v>306</v>
      </c>
      <c r="S54" s="54" t="s">
        <v>313</v>
      </c>
      <c r="T54" s="54" t="s">
        <v>307</v>
      </c>
      <c r="U54" s="46">
        <v>325</v>
      </c>
      <c r="V54" s="46">
        <v>240</v>
      </c>
      <c r="W54" s="46">
        <v>3</v>
      </c>
      <c r="X54" s="46" t="s">
        <v>308</v>
      </c>
      <c r="Y54" s="46">
        <v>0</v>
      </c>
      <c r="Z54" s="46">
        <v>0</v>
      </c>
      <c r="AA54" s="46">
        <v>3.5</v>
      </c>
      <c r="AB54" s="46">
        <v>175</v>
      </c>
      <c r="AC54" s="46">
        <v>43100</v>
      </c>
      <c r="AD54" s="46" t="s">
        <v>267</v>
      </c>
      <c r="AE54" s="46" t="s">
        <v>309</v>
      </c>
    </row>
    <row r="55" spans="1:31" ht="16.5" customHeight="1">
      <c r="A55" s="46">
        <v>43117</v>
      </c>
      <c r="B55" s="46">
        <v>43100</v>
      </c>
      <c r="C55" s="46" t="s">
        <v>300</v>
      </c>
      <c r="D55" s="46">
        <v>2</v>
      </c>
      <c r="E55" s="46">
        <v>4</v>
      </c>
      <c r="F55" s="46">
        <v>23</v>
      </c>
      <c r="G55" s="46">
        <v>4</v>
      </c>
      <c r="H55" s="46">
        <v>3</v>
      </c>
      <c r="I55" s="46">
        <v>220</v>
      </c>
      <c r="J55" s="46" t="s">
        <v>319</v>
      </c>
      <c r="K55" s="46" t="s">
        <v>322</v>
      </c>
      <c r="L55" s="46" t="s">
        <v>312</v>
      </c>
      <c r="M55" s="46">
        <v>156</v>
      </c>
      <c r="N55" s="46">
        <v>0</v>
      </c>
      <c r="O55" s="46" t="s">
        <v>303</v>
      </c>
      <c r="P55" s="46" t="s">
        <v>304</v>
      </c>
      <c r="Q55" s="46" t="s">
        <v>305</v>
      </c>
      <c r="R55" s="46" t="s">
        <v>306</v>
      </c>
      <c r="S55" s="54" t="s">
        <v>313</v>
      </c>
      <c r="T55" s="54" t="s">
        <v>307</v>
      </c>
      <c r="U55" s="46">
        <v>340</v>
      </c>
      <c r="V55" s="46">
        <v>240</v>
      </c>
      <c r="W55" s="46">
        <v>3</v>
      </c>
      <c r="X55" s="46" t="s">
        <v>308</v>
      </c>
      <c r="Y55" s="46">
        <v>0</v>
      </c>
      <c r="Z55" s="46">
        <v>0</v>
      </c>
      <c r="AA55" s="46">
        <v>3.5</v>
      </c>
      <c r="AB55" s="46">
        <v>185</v>
      </c>
      <c r="AC55" s="46">
        <v>43100</v>
      </c>
      <c r="AD55" s="46" t="s">
        <v>267</v>
      </c>
      <c r="AE55" s="46" t="s">
        <v>309</v>
      </c>
    </row>
    <row r="56" spans="1:31" ht="16.5" customHeight="1">
      <c r="A56" s="46">
        <v>43118</v>
      </c>
      <c r="B56" s="46">
        <v>43100</v>
      </c>
      <c r="C56" s="46" t="s">
        <v>300</v>
      </c>
      <c r="D56" s="46">
        <v>2</v>
      </c>
      <c r="E56" s="46">
        <v>5</v>
      </c>
      <c r="F56" s="46">
        <v>37</v>
      </c>
      <c r="G56" s="46">
        <v>4</v>
      </c>
      <c r="H56" s="46">
        <v>4</v>
      </c>
      <c r="I56" s="46">
        <v>235</v>
      </c>
      <c r="J56" s="46" t="s">
        <v>319</v>
      </c>
      <c r="K56" s="46" t="s">
        <v>322</v>
      </c>
      <c r="L56" s="46" t="s">
        <v>312</v>
      </c>
      <c r="M56" s="46">
        <v>156</v>
      </c>
      <c r="N56" s="46">
        <v>0</v>
      </c>
      <c r="O56" s="46" t="s">
        <v>303</v>
      </c>
      <c r="P56" s="46" t="s">
        <v>304</v>
      </c>
      <c r="Q56" s="46" t="s">
        <v>305</v>
      </c>
      <c r="R56" s="46" t="s">
        <v>306</v>
      </c>
      <c r="S56" s="54" t="s">
        <v>313</v>
      </c>
      <c r="T56" s="54" t="s">
        <v>307</v>
      </c>
      <c r="U56" s="46">
        <v>355</v>
      </c>
      <c r="V56" s="46">
        <v>240</v>
      </c>
      <c r="W56" s="46">
        <v>3</v>
      </c>
      <c r="X56" s="46" t="s">
        <v>308</v>
      </c>
      <c r="Y56" s="46">
        <v>0</v>
      </c>
      <c r="Z56" s="46">
        <v>0</v>
      </c>
      <c r="AA56" s="46">
        <v>3.5</v>
      </c>
      <c r="AB56" s="46">
        <v>195</v>
      </c>
      <c r="AC56" s="46">
        <v>43100</v>
      </c>
      <c r="AD56" s="46" t="s">
        <v>267</v>
      </c>
      <c r="AE56" s="46" t="s">
        <v>309</v>
      </c>
    </row>
    <row r="57" spans="1:31" ht="16.5" customHeight="1">
      <c r="A57" s="46">
        <v>43119</v>
      </c>
      <c r="B57" s="46">
        <v>43100</v>
      </c>
      <c r="C57" s="46" t="s">
        <v>300</v>
      </c>
      <c r="D57" s="46">
        <v>3</v>
      </c>
      <c r="E57" s="46">
        <v>0</v>
      </c>
      <c r="F57" s="46">
        <v>37</v>
      </c>
      <c r="G57" s="46">
        <v>8</v>
      </c>
      <c r="H57" s="46">
        <v>4</v>
      </c>
      <c r="I57" s="46">
        <v>255</v>
      </c>
      <c r="J57" s="46" t="s">
        <v>319</v>
      </c>
      <c r="K57" s="46" t="s">
        <v>323</v>
      </c>
      <c r="L57" s="46" t="s">
        <v>312</v>
      </c>
      <c r="M57" s="46">
        <v>156</v>
      </c>
      <c r="N57" s="46">
        <v>0</v>
      </c>
      <c r="O57" s="46" t="s">
        <v>303</v>
      </c>
      <c r="P57" s="46" t="s">
        <v>304</v>
      </c>
      <c r="Q57" s="46" t="s">
        <v>305</v>
      </c>
      <c r="R57" s="46" t="s">
        <v>306</v>
      </c>
      <c r="S57" s="54" t="s">
        <v>313</v>
      </c>
      <c r="T57" s="54" t="s">
        <v>307</v>
      </c>
      <c r="U57" s="46">
        <v>370</v>
      </c>
      <c r="V57" s="46">
        <v>260</v>
      </c>
      <c r="W57" s="46">
        <v>3</v>
      </c>
      <c r="X57" s="46" t="s">
        <v>308</v>
      </c>
      <c r="Y57" s="46">
        <v>0</v>
      </c>
      <c r="Z57" s="46">
        <v>0</v>
      </c>
      <c r="AA57" s="46">
        <v>3.5</v>
      </c>
      <c r="AB57" s="46">
        <v>210</v>
      </c>
      <c r="AC57" s="46">
        <v>43100</v>
      </c>
      <c r="AD57" s="46" t="s">
        <v>267</v>
      </c>
      <c r="AE57" s="46" t="s">
        <v>309</v>
      </c>
    </row>
    <row r="58" spans="1:31" ht="16.5" customHeight="1">
      <c r="A58" s="46">
        <v>43120</v>
      </c>
      <c r="B58" s="46">
        <v>43100</v>
      </c>
      <c r="C58" s="46" t="s">
        <v>300</v>
      </c>
      <c r="D58" s="46">
        <v>3</v>
      </c>
      <c r="E58" s="46">
        <v>1</v>
      </c>
      <c r="F58" s="46">
        <v>37</v>
      </c>
      <c r="G58" s="46">
        <v>8</v>
      </c>
      <c r="H58" s="46">
        <v>4</v>
      </c>
      <c r="I58" s="46">
        <v>275</v>
      </c>
      <c r="J58" s="46" t="s">
        <v>319</v>
      </c>
      <c r="K58" s="46" t="s">
        <v>323</v>
      </c>
      <c r="L58" s="46" t="s">
        <v>312</v>
      </c>
      <c r="M58" s="46">
        <v>156</v>
      </c>
      <c r="N58" s="46">
        <v>0</v>
      </c>
      <c r="O58" s="46" t="s">
        <v>303</v>
      </c>
      <c r="P58" s="46" t="s">
        <v>304</v>
      </c>
      <c r="Q58" s="46" t="s">
        <v>305</v>
      </c>
      <c r="R58" s="46" t="s">
        <v>306</v>
      </c>
      <c r="S58" s="54" t="s">
        <v>313</v>
      </c>
      <c r="T58" s="54" t="s">
        <v>307</v>
      </c>
      <c r="U58" s="46">
        <v>385</v>
      </c>
      <c r="V58" s="46">
        <v>260</v>
      </c>
      <c r="W58" s="46">
        <v>3</v>
      </c>
      <c r="X58" s="46" t="s">
        <v>308</v>
      </c>
      <c r="Y58" s="46">
        <v>0</v>
      </c>
      <c r="Z58" s="46">
        <v>0</v>
      </c>
      <c r="AA58" s="46">
        <v>3.5</v>
      </c>
      <c r="AB58" s="46">
        <v>225</v>
      </c>
      <c r="AC58" s="46">
        <v>43100</v>
      </c>
      <c r="AD58" s="46" t="s">
        <v>267</v>
      </c>
      <c r="AE58" s="46" t="s">
        <v>309</v>
      </c>
    </row>
    <row r="59" spans="1:31" ht="16.5" customHeight="1">
      <c r="A59" s="46">
        <v>43121</v>
      </c>
      <c r="B59" s="46">
        <v>43100</v>
      </c>
      <c r="C59" s="46" t="s">
        <v>300</v>
      </c>
      <c r="D59" s="46">
        <v>3</v>
      </c>
      <c r="E59" s="46">
        <v>2</v>
      </c>
      <c r="F59" s="46">
        <v>37</v>
      </c>
      <c r="G59" s="46">
        <v>8</v>
      </c>
      <c r="H59" s="46">
        <v>4</v>
      </c>
      <c r="I59" s="46">
        <v>295</v>
      </c>
      <c r="J59" s="46" t="s">
        <v>319</v>
      </c>
      <c r="K59" s="46" t="s">
        <v>323</v>
      </c>
      <c r="L59" s="46" t="s">
        <v>312</v>
      </c>
      <c r="M59" s="46">
        <v>156</v>
      </c>
      <c r="N59" s="46">
        <v>0</v>
      </c>
      <c r="O59" s="46" t="s">
        <v>303</v>
      </c>
      <c r="P59" s="46" t="s">
        <v>304</v>
      </c>
      <c r="Q59" s="46" t="s">
        <v>305</v>
      </c>
      <c r="R59" s="46" t="s">
        <v>306</v>
      </c>
      <c r="S59" s="54" t="s">
        <v>313</v>
      </c>
      <c r="T59" s="54" t="s">
        <v>307</v>
      </c>
      <c r="U59" s="46">
        <v>400</v>
      </c>
      <c r="V59" s="46">
        <v>260</v>
      </c>
      <c r="W59" s="46">
        <v>3</v>
      </c>
      <c r="X59" s="46" t="s">
        <v>308</v>
      </c>
      <c r="Y59" s="46">
        <v>0</v>
      </c>
      <c r="Z59" s="46">
        <v>0</v>
      </c>
      <c r="AA59" s="46">
        <v>3.5</v>
      </c>
      <c r="AB59" s="46">
        <v>240</v>
      </c>
      <c r="AC59" s="46">
        <v>43100</v>
      </c>
      <c r="AD59" s="46" t="s">
        <v>267</v>
      </c>
      <c r="AE59" s="46" t="s">
        <v>309</v>
      </c>
    </row>
    <row r="60" spans="1:31" ht="16.5" customHeight="1">
      <c r="A60" s="46">
        <v>43122</v>
      </c>
      <c r="B60" s="46">
        <v>43100</v>
      </c>
      <c r="C60" s="46" t="s">
        <v>300</v>
      </c>
      <c r="D60" s="46">
        <v>3</v>
      </c>
      <c r="E60" s="46">
        <v>3</v>
      </c>
      <c r="F60" s="46">
        <v>37</v>
      </c>
      <c r="G60" s="46">
        <v>8</v>
      </c>
      <c r="H60" s="46">
        <v>4</v>
      </c>
      <c r="I60" s="46">
        <v>315</v>
      </c>
      <c r="J60" s="46" t="s">
        <v>319</v>
      </c>
      <c r="K60" s="46" t="s">
        <v>323</v>
      </c>
      <c r="L60" s="46" t="s">
        <v>312</v>
      </c>
      <c r="M60" s="46">
        <v>156</v>
      </c>
      <c r="N60" s="46">
        <v>0</v>
      </c>
      <c r="O60" s="46" t="s">
        <v>303</v>
      </c>
      <c r="P60" s="46" t="s">
        <v>304</v>
      </c>
      <c r="Q60" s="46" t="s">
        <v>305</v>
      </c>
      <c r="R60" s="46" t="s">
        <v>306</v>
      </c>
      <c r="S60" s="54" t="s">
        <v>313</v>
      </c>
      <c r="T60" s="54" t="s">
        <v>307</v>
      </c>
      <c r="U60" s="46">
        <v>415</v>
      </c>
      <c r="V60" s="46">
        <v>260</v>
      </c>
      <c r="W60" s="46">
        <v>3</v>
      </c>
      <c r="X60" s="46" t="s">
        <v>308</v>
      </c>
      <c r="Y60" s="46">
        <v>0</v>
      </c>
      <c r="Z60" s="46">
        <v>0</v>
      </c>
      <c r="AA60" s="46">
        <v>3.5</v>
      </c>
      <c r="AB60" s="46">
        <v>255</v>
      </c>
      <c r="AC60" s="46">
        <v>43100</v>
      </c>
      <c r="AD60" s="46" t="s">
        <v>267</v>
      </c>
      <c r="AE60" s="46" t="s">
        <v>309</v>
      </c>
    </row>
    <row r="61" spans="1:31" ht="16.5" customHeight="1">
      <c r="A61" s="46">
        <v>43123</v>
      </c>
      <c r="B61" s="46">
        <v>43100</v>
      </c>
      <c r="C61" s="46" t="s">
        <v>300</v>
      </c>
      <c r="D61" s="46">
        <v>3</v>
      </c>
      <c r="E61" s="46">
        <v>4</v>
      </c>
      <c r="F61" s="46">
        <v>37</v>
      </c>
      <c r="G61" s="46">
        <v>8</v>
      </c>
      <c r="H61" s="46">
        <v>4</v>
      </c>
      <c r="I61" s="46">
        <v>335</v>
      </c>
      <c r="J61" s="46" t="s">
        <v>319</v>
      </c>
      <c r="K61" s="46" t="s">
        <v>323</v>
      </c>
      <c r="L61" s="46" t="s">
        <v>312</v>
      </c>
      <c r="M61" s="46">
        <v>156</v>
      </c>
      <c r="N61" s="46">
        <v>0</v>
      </c>
      <c r="O61" s="46" t="s">
        <v>303</v>
      </c>
      <c r="P61" s="46" t="s">
        <v>304</v>
      </c>
      <c r="Q61" s="46" t="s">
        <v>305</v>
      </c>
      <c r="R61" s="46" t="s">
        <v>306</v>
      </c>
      <c r="S61" s="54" t="s">
        <v>313</v>
      </c>
      <c r="T61" s="54" t="s">
        <v>307</v>
      </c>
      <c r="U61" s="46">
        <v>430</v>
      </c>
      <c r="V61" s="46">
        <v>260</v>
      </c>
      <c r="W61" s="46">
        <v>3</v>
      </c>
      <c r="X61" s="46" t="s">
        <v>308</v>
      </c>
      <c r="Y61" s="46">
        <v>0</v>
      </c>
      <c r="Z61" s="46">
        <v>0</v>
      </c>
      <c r="AA61" s="46">
        <v>3.5</v>
      </c>
      <c r="AB61" s="46">
        <v>270</v>
      </c>
      <c r="AC61" s="46">
        <v>43100</v>
      </c>
      <c r="AD61" s="46" t="s">
        <v>267</v>
      </c>
      <c r="AE61" s="46" t="s">
        <v>309</v>
      </c>
    </row>
    <row r="62" spans="1:31" ht="16.5" customHeight="1">
      <c r="A62" s="46">
        <v>43124</v>
      </c>
      <c r="B62" s="46">
        <v>43100</v>
      </c>
      <c r="C62" s="46" t="s">
        <v>300</v>
      </c>
      <c r="D62" s="46">
        <v>3</v>
      </c>
      <c r="E62" s="46">
        <v>5</v>
      </c>
      <c r="F62" s="46">
        <v>80</v>
      </c>
      <c r="G62" s="46">
        <v>8</v>
      </c>
      <c r="H62" s="46">
        <v>5</v>
      </c>
      <c r="I62" s="46">
        <v>355</v>
      </c>
      <c r="J62" s="46" t="s">
        <v>319</v>
      </c>
      <c r="K62" s="46" t="s">
        <v>323</v>
      </c>
      <c r="L62" s="46" t="s">
        <v>312</v>
      </c>
      <c r="M62" s="46">
        <v>156</v>
      </c>
      <c r="N62" s="46">
        <v>0</v>
      </c>
      <c r="O62" s="46" t="s">
        <v>303</v>
      </c>
      <c r="P62" s="46" t="s">
        <v>304</v>
      </c>
      <c r="Q62" s="46" t="s">
        <v>305</v>
      </c>
      <c r="R62" s="46" t="s">
        <v>306</v>
      </c>
      <c r="S62" s="54" t="s">
        <v>313</v>
      </c>
      <c r="T62" s="54" t="s">
        <v>307</v>
      </c>
      <c r="U62" s="46">
        <v>445</v>
      </c>
      <c r="V62" s="46">
        <v>260</v>
      </c>
      <c r="W62" s="46">
        <v>3</v>
      </c>
      <c r="X62" s="46" t="s">
        <v>308</v>
      </c>
      <c r="Y62" s="46">
        <v>0</v>
      </c>
      <c r="Z62" s="46">
        <v>0</v>
      </c>
      <c r="AA62" s="46">
        <v>3.5</v>
      </c>
      <c r="AB62" s="46">
        <v>285</v>
      </c>
      <c r="AC62" s="46">
        <v>43100</v>
      </c>
      <c r="AD62" s="46" t="s">
        <v>267</v>
      </c>
      <c r="AE62" s="46" t="s">
        <v>309</v>
      </c>
    </row>
    <row r="63" spans="1:31" ht="16.5" customHeight="1">
      <c r="A63" s="46">
        <v>43125</v>
      </c>
      <c r="B63" s="46">
        <v>43100</v>
      </c>
      <c r="C63" s="46" t="s">
        <v>300</v>
      </c>
      <c r="D63" s="46">
        <v>4</v>
      </c>
      <c r="E63" s="46">
        <v>0</v>
      </c>
      <c r="F63" s="46">
        <v>120</v>
      </c>
      <c r="G63" s="46">
        <v>24</v>
      </c>
      <c r="H63" s="46">
        <v>5</v>
      </c>
      <c r="I63" s="46">
        <v>380</v>
      </c>
      <c r="J63" s="46" t="s">
        <v>319</v>
      </c>
      <c r="K63" s="46" t="s">
        <v>324</v>
      </c>
      <c r="L63" s="46" t="s">
        <v>312</v>
      </c>
      <c r="M63" s="46">
        <v>156</v>
      </c>
      <c r="N63" s="46">
        <v>0</v>
      </c>
      <c r="O63" s="46" t="s">
        <v>303</v>
      </c>
      <c r="P63" s="46" t="s">
        <v>304</v>
      </c>
      <c r="Q63" s="46" t="s">
        <v>305</v>
      </c>
      <c r="R63" s="46" t="s">
        <v>306</v>
      </c>
      <c r="S63" s="54" t="s">
        <v>313</v>
      </c>
      <c r="T63" s="54" t="s">
        <v>307</v>
      </c>
      <c r="U63" s="46">
        <v>460</v>
      </c>
      <c r="V63" s="46">
        <v>280</v>
      </c>
      <c r="W63" s="46">
        <v>3</v>
      </c>
      <c r="X63" s="46" t="s">
        <v>308</v>
      </c>
      <c r="Y63" s="46">
        <v>0</v>
      </c>
      <c r="Z63" s="46">
        <v>0</v>
      </c>
      <c r="AA63" s="46">
        <v>3.5</v>
      </c>
      <c r="AB63" s="46">
        <v>305</v>
      </c>
      <c r="AC63" s="46">
        <v>43100</v>
      </c>
      <c r="AD63" s="46" t="s">
        <v>267</v>
      </c>
      <c r="AE63" s="46" t="s">
        <v>309</v>
      </c>
    </row>
    <row r="64" spans="1:31" ht="16.5" customHeight="1">
      <c r="A64" s="46">
        <v>43126</v>
      </c>
      <c r="B64" s="46">
        <v>43100</v>
      </c>
      <c r="C64" s="46" t="s">
        <v>300</v>
      </c>
      <c r="D64" s="46">
        <v>4</v>
      </c>
      <c r="E64" s="46">
        <v>1</v>
      </c>
      <c r="F64" s="46">
        <v>160</v>
      </c>
      <c r="G64" s="46">
        <v>24</v>
      </c>
      <c r="H64" s="46">
        <v>5</v>
      </c>
      <c r="I64" s="46">
        <v>405</v>
      </c>
      <c r="J64" s="46" t="s">
        <v>319</v>
      </c>
      <c r="K64" s="46" t="s">
        <v>324</v>
      </c>
      <c r="L64" s="46" t="s">
        <v>312</v>
      </c>
      <c r="M64" s="46">
        <v>156</v>
      </c>
      <c r="N64" s="46">
        <v>0</v>
      </c>
      <c r="O64" s="46" t="s">
        <v>303</v>
      </c>
      <c r="P64" s="46" t="s">
        <v>304</v>
      </c>
      <c r="Q64" s="46" t="s">
        <v>305</v>
      </c>
      <c r="R64" s="46" t="s">
        <v>306</v>
      </c>
      <c r="S64" s="54" t="s">
        <v>313</v>
      </c>
      <c r="T64" s="54" t="s">
        <v>307</v>
      </c>
      <c r="U64" s="46">
        <v>475</v>
      </c>
      <c r="V64" s="46">
        <v>280</v>
      </c>
      <c r="W64" s="46">
        <v>3</v>
      </c>
      <c r="X64" s="46" t="s">
        <v>308</v>
      </c>
      <c r="Y64" s="46">
        <v>0</v>
      </c>
      <c r="Z64" s="46">
        <v>0</v>
      </c>
      <c r="AA64" s="46">
        <v>3.5</v>
      </c>
      <c r="AB64" s="46">
        <v>325</v>
      </c>
      <c r="AC64" s="46">
        <v>43100</v>
      </c>
      <c r="AD64" s="46" t="s">
        <v>267</v>
      </c>
      <c r="AE64" s="46" t="s">
        <v>309</v>
      </c>
    </row>
    <row r="65" spans="1:31" ht="16.5" customHeight="1">
      <c r="A65" s="46">
        <v>43127</v>
      </c>
      <c r="B65" s="46">
        <v>43100</v>
      </c>
      <c r="C65" s="46" t="s">
        <v>300</v>
      </c>
      <c r="D65" s="46">
        <v>4</v>
      </c>
      <c r="E65" s="46">
        <v>2</v>
      </c>
      <c r="F65" s="46">
        <v>200</v>
      </c>
      <c r="G65" s="46">
        <v>24</v>
      </c>
      <c r="H65" s="46">
        <v>5</v>
      </c>
      <c r="I65" s="46">
        <v>430</v>
      </c>
      <c r="J65" s="46" t="s">
        <v>319</v>
      </c>
      <c r="K65" s="46" t="s">
        <v>324</v>
      </c>
      <c r="L65" s="46" t="s">
        <v>312</v>
      </c>
      <c r="M65" s="46">
        <v>156</v>
      </c>
      <c r="N65" s="46">
        <v>0</v>
      </c>
      <c r="O65" s="46" t="s">
        <v>303</v>
      </c>
      <c r="P65" s="46" t="s">
        <v>304</v>
      </c>
      <c r="Q65" s="46" t="s">
        <v>305</v>
      </c>
      <c r="R65" s="46" t="s">
        <v>306</v>
      </c>
      <c r="S65" s="54" t="s">
        <v>313</v>
      </c>
      <c r="T65" s="54" t="s">
        <v>307</v>
      </c>
      <c r="U65" s="46">
        <v>490</v>
      </c>
      <c r="V65" s="46">
        <v>280</v>
      </c>
      <c r="W65" s="46">
        <v>3</v>
      </c>
      <c r="X65" s="46" t="s">
        <v>308</v>
      </c>
      <c r="Y65" s="46">
        <v>0</v>
      </c>
      <c r="Z65" s="46">
        <v>0</v>
      </c>
      <c r="AA65" s="46">
        <v>3.5</v>
      </c>
      <c r="AB65" s="46">
        <v>345</v>
      </c>
      <c r="AC65" s="46">
        <v>43100</v>
      </c>
      <c r="AD65" s="46" t="s">
        <v>267</v>
      </c>
      <c r="AE65" s="46" t="s">
        <v>309</v>
      </c>
    </row>
    <row r="66" spans="1:31" ht="16.5" customHeight="1">
      <c r="A66" s="46">
        <v>43128</v>
      </c>
      <c r="B66" s="46">
        <v>43100</v>
      </c>
      <c r="C66" s="46" t="s">
        <v>300</v>
      </c>
      <c r="D66" s="46">
        <v>4</v>
      </c>
      <c r="E66" s="46">
        <v>3</v>
      </c>
      <c r="F66" s="46">
        <v>250</v>
      </c>
      <c r="G66" s="46">
        <v>24</v>
      </c>
      <c r="H66" s="46">
        <v>5</v>
      </c>
      <c r="I66" s="46">
        <v>455</v>
      </c>
      <c r="J66" s="46" t="s">
        <v>319</v>
      </c>
      <c r="K66" s="46" t="s">
        <v>324</v>
      </c>
      <c r="L66" s="46" t="s">
        <v>312</v>
      </c>
      <c r="M66" s="46">
        <v>156</v>
      </c>
      <c r="N66" s="46">
        <v>0</v>
      </c>
      <c r="O66" s="46" t="s">
        <v>303</v>
      </c>
      <c r="P66" s="46" t="s">
        <v>304</v>
      </c>
      <c r="Q66" s="46" t="s">
        <v>305</v>
      </c>
      <c r="R66" s="46" t="s">
        <v>306</v>
      </c>
      <c r="S66" s="54" t="s">
        <v>313</v>
      </c>
      <c r="T66" s="54" t="s">
        <v>307</v>
      </c>
      <c r="U66" s="46">
        <v>505</v>
      </c>
      <c r="V66" s="46">
        <v>280</v>
      </c>
      <c r="W66" s="46">
        <v>3</v>
      </c>
      <c r="X66" s="46" t="s">
        <v>308</v>
      </c>
      <c r="Y66" s="46">
        <v>0</v>
      </c>
      <c r="Z66" s="46">
        <v>0</v>
      </c>
      <c r="AA66" s="46">
        <v>3.5</v>
      </c>
      <c r="AB66" s="46">
        <v>365</v>
      </c>
      <c r="AC66" s="46">
        <v>43100</v>
      </c>
      <c r="AD66" s="46" t="s">
        <v>267</v>
      </c>
      <c r="AE66" s="46" t="s">
        <v>309</v>
      </c>
    </row>
    <row r="67" spans="1:31" ht="16.5" customHeight="1">
      <c r="A67" s="46">
        <v>43129</v>
      </c>
      <c r="B67" s="46">
        <v>43100</v>
      </c>
      <c r="C67" s="46" t="s">
        <v>300</v>
      </c>
      <c r="D67" s="46">
        <v>4</v>
      </c>
      <c r="E67" s="46">
        <v>4</v>
      </c>
      <c r="F67" s="46">
        <v>400</v>
      </c>
      <c r="G67" s="46">
        <v>24</v>
      </c>
      <c r="H67" s="46">
        <v>5</v>
      </c>
      <c r="I67" s="46">
        <v>480</v>
      </c>
      <c r="J67" s="46" t="s">
        <v>319</v>
      </c>
      <c r="K67" s="46" t="s">
        <v>324</v>
      </c>
      <c r="L67" s="46" t="s">
        <v>312</v>
      </c>
      <c r="M67" s="46">
        <v>156</v>
      </c>
      <c r="N67" s="46">
        <v>0</v>
      </c>
      <c r="O67" s="46" t="s">
        <v>303</v>
      </c>
      <c r="P67" s="46" t="s">
        <v>304</v>
      </c>
      <c r="Q67" s="46" t="s">
        <v>305</v>
      </c>
      <c r="R67" s="46" t="s">
        <v>306</v>
      </c>
      <c r="S67" s="54" t="s">
        <v>313</v>
      </c>
      <c r="T67" s="54" t="s">
        <v>307</v>
      </c>
      <c r="U67" s="46">
        <v>520</v>
      </c>
      <c r="V67" s="46">
        <v>280</v>
      </c>
      <c r="W67" s="46">
        <v>3</v>
      </c>
      <c r="X67" s="46" t="s">
        <v>308</v>
      </c>
      <c r="Y67" s="46">
        <v>0</v>
      </c>
      <c r="Z67" s="46">
        <v>0</v>
      </c>
      <c r="AA67" s="46">
        <v>3.5</v>
      </c>
      <c r="AB67" s="46">
        <v>385</v>
      </c>
      <c r="AC67" s="46">
        <v>43100</v>
      </c>
      <c r="AD67" s="46" t="s">
        <v>267</v>
      </c>
      <c r="AE67" s="46" t="s">
        <v>309</v>
      </c>
    </row>
    <row r="68" spans="1:31" ht="16.5" customHeight="1">
      <c r="A68" s="46">
        <v>43130</v>
      </c>
      <c r="B68" s="46">
        <v>43100</v>
      </c>
      <c r="C68" s="46" t="s">
        <v>300</v>
      </c>
      <c r="D68" s="46">
        <v>4</v>
      </c>
      <c r="E68" s="46">
        <v>5</v>
      </c>
      <c r="F68" s="46">
        <v>550</v>
      </c>
      <c r="G68" s="46">
        <v>48</v>
      </c>
      <c r="H68" s="46">
        <v>6</v>
      </c>
      <c r="I68" s="46">
        <v>505</v>
      </c>
      <c r="J68" s="46" t="s">
        <v>319</v>
      </c>
      <c r="K68" s="46" t="s">
        <v>324</v>
      </c>
      <c r="L68" s="46" t="s">
        <v>312</v>
      </c>
      <c r="M68" s="46">
        <v>156</v>
      </c>
      <c r="N68" s="46">
        <v>0</v>
      </c>
      <c r="O68" s="46" t="s">
        <v>303</v>
      </c>
      <c r="P68" s="46" t="s">
        <v>304</v>
      </c>
      <c r="Q68" s="46" t="s">
        <v>305</v>
      </c>
      <c r="R68" s="46" t="s">
        <v>306</v>
      </c>
      <c r="S68" s="54" t="s">
        <v>313</v>
      </c>
      <c r="T68" s="54" t="s">
        <v>307</v>
      </c>
      <c r="U68" s="46">
        <v>535</v>
      </c>
      <c r="V68" s="46">
        <v>280</v>
      </c>
      <c r="W68" s="46">
        <v>3</v>
      </c>
      <c r="X68" s="46" t="s">
        <v>308</v>
      </c>
      <c r="Y68" s="46">
        <v>0</v>
      </c>
      <c r="Z68" s="46">
        <v>0</v>
      </c>
      <c r="AA68" s="46">
        <v>3.5</v>
      </c>
      <c r="AB68" s="46">
        <v>405</v>
      </c>
      <c r="AC68" s="46">
        <v>43100</v>
      </c>
      <c r="AD68" s="46" t="s">
        <v>267</v>
      </c>
      <c r="AE68" s="46" t="s">
        <v>309</v>
      </c>
    </row>
    <row r="69" spans="1:31" ht="16.5" customHeight="1">
      <c r="A69" s="46">
        <v>43131</v>
      </c>
      <c r="B69" s="46">
        <v>43100</v>
      </c>
      <c r="C69" s="46" t="s">
        <v>300</v>
      </c>
      <c r="D69" s="46">
        <v>5</v>
      </c>
      <c r="E69" s="46">
        <v>0</v>
      </c>
      <c r="F69" s="46">
        <v>700</v>
      </c>
      <c r="G69" s="46">
        <v>48</v>
      </c>
      <c r="H69" s="46">
        <v>6</v>
      </c>
      <c r="I69" s="46">
        <v>535</v>
      </c>
      <c r="J69" s="46" t="s">
        <v>319</v>
      </c>
      <c r="K69" s="46" t="s">
        <v>325</v>
      </c>
      <c r="L69" s="46" t="s">
        <v>312</v>
      </c>
      <c r="M69" s="46">
        <v>156</v>
      </c>
      <c r="N69" s="46">
        <v>0</v>
      </c>
      <c r="O69" s="46" t="s">
        <v>303</v>
      </c>
      <c r="P69" s="46" t="s">
        <v>304</v>
      </c>
      <c r="Q69" s="46" t="s">
        <v>305</v>
      </c>
      <c r="R69" s="46" t="s">
        <v>306</v>
      </c>
      <c r="S69" s="54" t="s">
        <v>313</v>
      </c>
      <c r="T69" s="54" t="s">
        <v>307</v>
      </c>
      <c r="U69" s="46">
        <v>550</v>
      </c>
      <c r="V69" s="46">
        <v>300</v>
      </c>
      <c r="W69" s="46">
        <v>3</v>
      </c>
      <c r="X69" s="46" t="s">
        <v>308</v>
      </c>
      <c r="Y69" s="46">
        <v>0</v>
      </c>
      <c r="Z69" s="46">
        <v>0</v>
      </c>
      <c r="AA69" s="46">
        <v>3.5</v>
      </c>
      <c r="AB69" s="46">
        <v>430</v>
      </c>
      <c r="AC69" s="46">
        <v>43100</v>
      </c>
      <c r="AD69" s="46" t="s">
        <v>267</v>
      </c>
      <c r="AE69" s="46" t="s">
        <v>309</v>
      </c>
    </row>
    <row r="70" spans="1:31" ht="16.5" customHeight="1">
      <c r="A70" s="46">
        <v>43132</v>
      </c>
      <c r="B70" s="46">
        <v>43100</v>
      </c>
      <c r="C70" s="46" t="s">
        <v>300</v>
      </c>
      <c r="D70" s="46">
        <v>5</v>
      </c>
      <c r="E70" s="46">
        <v>1</v>
      </c>
      <c r="F70" s="46">
        <v>900</v>
      </c>
      <c r="G70" s="46">
        <v>48</v>
      </c>
      <c r="H70" s="46">
        <v>6</v>
      </c>
      <c r="I70" s="46">
        <v>565</v>
      </c>
      <c r="J70" s="46" t="s">
        <v>319</v>
      </c>
      <c r="K70" s="46" t="s">
        <v>325</v>
      </c>
      <c r="L70" s="46" t="s">
        <v>312</v>
      </c>
      <c r="M70" s="46">
        <v>156</v>
      </c>
      <c r="N70" s="46">
        <v>0</v>
      </c>
      <c r="O70" s="46" t="s">
        <v>303</v>
      </c>
      <c r="P70" s="46" t="s">
        <v>304</v>
      </c>
      <c r="Q70" s="46" t="s">
        <v>305</v>
      </c>
      <c r="R70" s="46" t="s">
        <v>306</v>
      </c>
      <c r="S70" s="54" t="s">
        <v>313</v>
      </c>
      <c r="T70" s="54" t="s">
        <v>307</v>
      </c>
      <c r="U70" s="46">
        <v>565</v>
      </c>
      <c r="V70" s="46">
        <v>300</v>
      </c>
      <c r="W70" s="46">
        <v>3</v>
      </c>
      <c r="X70" s="46" t="s">
        <v>308</v>
      </c>
      <c r="Y70" s="46">
        <v>0</v>
      </c>
      <c r="Z70" s="46">
        <v>0</v>
      </c>
      <c r="AA70" s="46">
        <v>3.5</v>
      </c>
      <c r="AB70" s="46">
        <v>455</v>
      </c>
      <c r="AC70" s="46">
        <v>43100</v>
      </c>
      <c r="AD70" s="46" t="s">
        <v>267</v>
      </c>
      <c r="AE70" s="46" t="s">
        <v>309</v>
      </c>
    </row>
    <row r="71" spans="1:31" ht="16.5" customHeight="1">
      <c r="A71" s="46">
        <v>43133</v>
      </c>
      <c r="B71" s="46">
        <v>43100</v>
      </c>
      <c r="C71" s="46" t="s">
        <v>300</v>
      </c>
      <c r="D71" s="46">
        <v>5</v>
      </c>
      <c r="E71" s="46">
        <v>2</v>
      </c>
      <c r="F71" s="46">
        <v>1200</v>
      </c>
      <c r="G71" s="46">
        <v>48</v>
      </c>
      <c r="H71" s="46">
        <v>6</v>
      </c>
      <c r="I71" s="46">
        <v>595</v>
      </c>
      <c r="J71" s="46" t="s">
        <v>319</v>
      </c>
      <c r="K71" s="46" t="s">
        <v>325</v>
      </c>
      <c r="L71" s="46" t="s">
        <v>312</v>
      </c>
      <c r="M71" s="46">
        <v>156</v>
      </c>
      <c r="N71" s="46">
        <v>0</v>
      </c>
      <c r="O71" s="46" t="s">
        <v>303</v>
      </c>
      <c r="P71" s="46" t="s">
        <v>304</v>
      </c>
      <c r="Q71" s="46" t="s">
        <v>305</v>
      </c>
      <c r="R71" s="46" t="s">
        <v>306</v>
      </c>
      <c r="S71" s="54" t="s">
        <v>313</v>
      </c>
      <c r="T71" s="54" t="s">
        <v>307</v>
      </c>
      <c r="U71" s="46">
        <v>580</v>
      </c>
      <c r="V71" s="46">
        <v>300</v>
      </c>
      <c r="W71" s="46">
        <v>3</v>
      </c>
      <c r="X71" s="46" t="s">
        <v>308</v>
      </c>
      <c r="Y71" s="46">
        <v>0</v>
      </c>
      <c r="Z71" s="46">
        <v>0</v>
      </c>
      <c r="AA71" s="46">
        <v>3.5</v>
      </c>
      <c r="AB71" s="46">
        <v>480</v>
      </c>
      <c r="AC71" s="46">
        <v>43100</v>
      </c>
      <c r="AD71" s="46" t="s">
        <v>267</v>
      </c>
      <c r="AE71" s="46" t="s">
        <v>309</v>
      </c>
    </row>
    <row r="72" spans="1:31" ht="16.5" customHeight="1">
      <c r="A72" s="46">
        <v>43134</v>
      </c>
      <c r="B72" s="46">
        <v>43100</v>
      </c>
      <c r="C72" s="46" t="s">
        <v>300</v>
      </c>
      <c r="D72" s="46">
        <v>5</v>
      </c>
      <c r="E72" s="46">
        <v>3</v>
      </c>
      <c r="F72" s="46">
        <v>1800</v>
      </c>
      <c r="G72" s="46">
        <v>48</v>
      </c>
      <c r="H72" s="46">
        <v>6</v>
      </c>
      <c r="I72" s="46">
        <v>625</v>
      </c>
      <c r="J72" s="46" t="s">
        <v>319</v>
      </c>
      <c r="K72" s="46" t="s">
        <v>325</v>
      </c>
      <c r="L72" s="46" t="s">
        <v>312</v>
      </c>
      <c r="M72" s="46">
        <v>156</v>
      </c>
      <c r="N72" s="46">
        <v>0</v>
      </c>
      <c r="O72" s="46" t="s">
        <v>303</v>
      </c>
      <c r="P72" s="46" t="s">
        <v>304</v>
      </c>
      <c r="Q72" s="46" t="s">
        <v>305</v>
      </c>
      <c r="R72" s="46" t="s">
        <v>306</v>
      </c>
      <c r="S72" s="54" t="s">
        <v>313</v>
      </c>
      <c r="T72" s="54" t="s">
        <v>307</v>
      </c>
      <c r="U72" s="46">
        <v>595</v>
      </c>
      <c r="V72" s="46">
        <v>300</v>
      </c>
      <c r="W72" s="46">
        <v>3</v>
      </c>
      <c r="X72" s="46" t="s">
        <v>308</v>
      </c>
      <c r="Y72" s="46">
        <v>0</v>
      </c>
      <c r="Z72" s="46">
        <v>0</v>
      </c>
      <c r="AA72" s="46">
        <v>3.5</v>
      </c>
      <c r="AB72" s="46">
        <v>505</v>
      </c>
      <c r="AC72" s="46">
        <v>43100</v>
      </c>
      <c r="AD72" s="46" t="s">
        <v>267</v>
      </c>
      <c r="AE72" s="46" t="s">
        <v>309</v>
      </c>
    </row>
    <row r="73" spans="1:31" ht="16.5" customHeight="1">
      <c r="A73" s="46">
        <v>43135</v>
      </c>
      <c r="B73" s="46">
        <v>43100</v>
      </c>
      <c r="C73" s="46" t="s">
        <v>300</v>
      </c>
      <c r="D73" s="46">
        <v>5</v>
      </c>
      <c r="E73" s="46">
        <v>4</v>
      </c>
      <c r="F73" s="46">
        <v>2500</v>
      </c>
      <c r="G73" s="46">
        <v>48</v>
      </c>
      <c r="H73" s="46">
        <v>6</v>
      </c>
      <c r="I73" s="46">
        <v>655</v>
      </c>
      <c r="J73" s="46" t="s">
        <v>319</v>
      </c>
      <c r="K73" s="46" t="s">
        <v>325</v>
      </c>
      <c r="L73" s="46" t="s">
        <v>312</v>
      </c>
      <c r="M73" s="46">
        <v>156</v>
      </c>
      <c r="N73" s="46">
        <v>0</v>
      </c>
      <c r="O73" s="46" t="s">
        <v>303</v>
      </c>
      <c r="P73" s="46" t="s">
        <v>304</v>
      </c>
      <c r="Q73" s="46" t="s">
        <v>305</v>
      </c>
      <c r="R73" s="46" t="s">
        <v>306</v>
      </c>
      <c r="S73" s="54" t="s">
        <v>313</v>
      </c>
      <c r="T73" s="54" t="s">
        <v>307</v>
      </c>
      <c r="U73" s="46">
        <v>610</v>
      </c>
      <c r="V73" s="46">
        <v>300</v>
      </c>
      <c r="W73" s="46">
        <v>3</v>
      </c>
      <c r="X73" s="46" t="s">
        <v>308</v>
      </c>
      <c r="Y73" s="46">
        <v>0</v>
      </c>
      <c r="Z73" s="46">
        <v>0</v>
      </c>
      <c r="AA73" s="46">
        <v>3.5</v>
      </c>
      <c r="AB73" s="46">
        <v>530</v>
      </c>
      <c r="AC73" s="46">
        <v>43100</v>
      </c>
      <c r="AD73" s="46" t="s">
        <v>267</v>
      </c>
      <c r="AE73" s="46" t="s">
        <v>309</v>
      </c>
    </row>
    <row r="74" spans="1:31" ht="16.5" customHeight="1">
      <c r="A74" s="46">
        <v>43136</v>
      </c>
      <c r="B74" s="46">
        <v>43100</v>
      </c>
      <c r="C74" s="46" t="s">
        <v>300</v>
      </c>
      <c r="D74" s="46">
        <v>5</v>
      </c>
      <c r="E74" s="46">
        <v>5</v>
      </c>
      <c r="F74" s="46">
        <v>0</v>
      </c>
      <c r="G74" s="46">
        <v>0</v>
      </c>
      <c r="H74" s="46">
        <v>6</v>
      </c>
      <c r="I74" s="46">
        <v>685</v>
      </c>
      <c r="J74" s="46" t="s">
        <v>319</v>
      </c>
      <c r="K74" s="46" t="s">
        <v>325</v>
      </c>
      <c r="L74" s="46" t="s">
        <v>312</v>
      </c>
      <c r="M74" s="46">
        <v>156</v>
      </c>
      <c r="N74" s="46">
        <v>0</v>
      </c>
      <c r="O74" s="46" t="s">
        <v>303</v>
      </c>
      <c r="P74" s="46" t="s">
        <v>304</v>
      </c>
      <c r="Q74" s="46" t="s">
        <v>305</v>
      </c>
      <c r="R74" s="46" t="s">
        <v>306</v>
      </c>
      <c r="S74" s="54" t="s">
        <v>313</v>
      </c>
      <c r="T74" s="54" t="s">
        <v>307</v>
      </c>
      <c r="U74" s="46">
        <v>625</v>
      </c>
      <c r="V74" s="46">
        <v>300</v>
      </c>
      <c r="W74" s="46">
        <v>3</v>
      </c>
      <c r="X74" s="46" t="s">
        <v>308</v>
      </c>
      <c r="Y74" s="46">
        <v>0</v>
      </c>
      <c r="Z74" s="46">
        <v>0</v>
      </c>
      <c r="AA74" s="46">
        <v>3.5</v>
      </c>
      <c r="AB74" s="46">
        <v>555</v>
      </c>
      <c r="AC74" s="46">
        <v>43100</v>
      </c>
      <c r="AD74" s="46" t="s">
        <v>267</v>
      </c>
      <c r="AE74" s="46" t="s">
        <v>309</v>
      </c>
    </row>
    <row r="75" spans="1:31" ht="16.5" customHeight="1">
      <c r="A75" s="46">
        <v>43201</v>
      </c>
      <c r="B75" s="46">
        <v>43200</v>
      </c>
      <c r="C75" s="46" t="s">
        <v>300</v>
      </c>
      <c r="D75" s="46">
        <v>0</v>
      </c>
      <c r="E75" s="46">
        <v>0</v>
      </c>
      <c r="F75" s="46">
        <v>15</v>
      </c>
      <c r="G75" s="46">
        <v>1</v>
      </c>
      <c r="H75" s="46">
        <v>3</v>
      </c>
      <c r="I75" s="46">
        <v>120</v>
      </c>
      <c r="J75" s="46" t="s">
        <v>326</v>
      </c>
      <c r="K75" s="46" t="s">
        <v>327</v>
      </c>
      <c r="L75" s="46" t="s">
        <v>328</v>
      </c>
      <c r="M75" s="46">
        <v>0</v>
      </c>
      <c r="N75" s="46">
        <v>1</v>
      </c>
      <c r="O75" s="46" t="s">
        <v>303</v>
      </c>
      <c r="P75" s="46" t="s">
        <v>304</v>
      </c>
      <c r="Q75" s="46" t="s">
        <v>305</v>
      </c>
      <c r="R75" s="46" t="s">
        <v>306</v>
      </c>
      <c r="S75" s="54" t="s">
        <v>329</v>
      </c>
      <c r="T75" s="54" t="s">
        <v>307</v>
      </c>
      <c r="U75" s="46">
        <v>50</v>
      </c>
      <c r="V75" s="46">
        <v>180</v>
      </c>
      <c r="W75" s="46">
        <v>9</v>
      </c>
      <c r="X75" s="46" t="s">
        <v>330</v>
      </c>
      <c r="Y75" s="46">
        <v>43200</v>
      </c>
      <c r="Z75" s="46">
        <v>1</v>
      </c>
      <c r="AA75" s="46">
        <v>5</v>
      </c>
      <c r="AB75" s="46">
        <v>200</v>
      </c>
      <c r="AC75" s="46">
        <v>43200</v>
      </c>
      <c r="AD75" s="46" t="s">
        <v>267</v>
      </c>
      <c r="AE75" s="46" t="s">
        <v>309</v>
      </c>
    </row>
    <row r="76" spans="1:31" ht="16.5" customHeight="1">
      <c r="A76" s="46">
        <v>43202</v>
      </c>
      <c r="B76" s="46">
        <v>43200</v>
      </c>
      <c r="C76" s="46" t="s">
        <v>300</v>
      </c>
      <c r="D76" s="46">
        <v>0</v>
      </c>
      <c r="E76" s="46">
        <v>1</v>
      </c>
      <c r="F76" s="46">
        <v>15</v>
      </c>
      <c r="G76" s="46">
        <v>1</v>
      </c>
      <c r="H76" s="46">
        <v>3</v>
      </c>
      <c r="I76" s="46">
        <v>125</v>
      </c>
      <c r="J76" s="46" t="s">
        <v>326</v>
      </c>
      <c r="K76" s="46" t="s">
        <v>327</v>
      </c>
      <c r="L76" s="46" t="s">
        <v>328</v>
      </c>
      <c r="M76" s="46">
        <v>0</v>
      </c>
      <c r="N76" s="46">
        <v>1</v>
      </c>
      <c r="O76" s="46" t="s">
        <v>303</v>
      </c>
      <c r="P76" s="46" t="s">
        <v>304</v>
      </c>
      <c r="Q76" s="46" t="s">
        <v>305</v>
      </c>
      <c r="R76" s="46" t="s">
        <v>306</v>
      </c>
      <c r="S76" s="54" t="s">
        <v>329</v>
      </c>
      <c r="T76" s="54" t="s">
        <v>307</v>
      </c>
      <c r="U76" s="46">
        <v>57</v>
      </c>
      <c r="V76" s="46">
        <v>180</v>
      </c>
      <c r="W76" s="46">
        <v>9</v>
      </c>
      <c r="X76" s="46" t="s">
        <v>330</v>
      </c>
      <c r="Y76" s="46">
        <v>43200</v>
      </c>
      <c r="Z76" s="46">
        <v>1</v>
      </c>
      <c r="AA76" s="46">
        <v>5</v>
      </c>
      <c r="AB76" s="46">
        <v>220</v>
      </c>
      <c r="AC76" s="46">
        <v>43200</v>
      </c>
      <c r="AD76" s="46" t="s">
        <v>267</v>
      </c>
      <c r="AE76" s="46" t="s">
        <v>309</v>
      </c>
    </row>
    <row r="77" spans="1:31" ht="16.5" customHeight="1">
      <c r="A77" s="46">
        <v>43203</v>
      </c>
      <c r="B77" s="46">
        <v>43200</v>
      </c>
      <c r="C77" s="46" t="s">
        <v>300</v>
      </c>
      <c r="D77" s="46">
        <v>0</v>
      </c>
      <c r="E77" s="46">
        <v>2</v>
      </c>
      <c r="F77" s="46">
        <v>15</v>
      </c>
      <c r="G77" s="46">
        <v>1</v>
      </c>
      <c r="H77" s="46">
        <v>3</v>
      </c>
      <c r="I77" s="46">
        <v>130</v>
      </c>
      <c r="J77" s="46" t="s">
        <v>326</v>
      </c>
      <c r="K77" s="46" t="s">
        <v>327</v>
      </c>
      <c r="L77" s="46" t="s">
        <v>328</v>
      </c>
      <c r="M77" s="46">
        <v>0</v>
      </c>
      <c r="N77" s="46">
        <v>1</v>
      </c>
      <c r="O77" s="46" t="s">
        <v>303</v>
      </c>
      <c r="P77" s="46" t="s">
        <v>304</v>
      </c>
      <c r="Q77" s="46" t="s">
        <v>305</v>
      </c>
      <c r="R77" s="46" t="s">
        <v>306</v>
      </c>
      <c r="S77" s="54" t="s">
        <v>329</v>
      </c>
      <c r="T77" s="54" t="s">
        <v>307</v>
      </c>
      <c r="U77" s="46">
        <v>64</v>
      </c>
      <c r="V77" s="46">
        <v>180</v>
      </c>
      <c r="W77" s="46">
        <v>9</v>
      </c>
      <c r="X77" s="46" t="s">
        <v>330</v>
      </c>
      <c r="Y77" s="46">
        <v>43200</v>
      </c>
      <c r="Z77" s="46">
        <v>1</v>
      </c>
      <c r="AA77" s="46">
        <v>5</v>
      </c>
      <c r="AB77" s="46">
        <v>240</v>
      </c>
      <c r="AC77" s="46">
        <v>43200</v>
      </c>
      <c r="AD77" s="46" t="s">
        <v>267</v>
      </c>
      <c r="AE77" s="46" t="s">
        <v>309</v>
      </c>
    </row>
    <row r="78" spans="1:31" ht="16.5" customHeight="1">
      <c r="A78" s="46">
        <v>43204</v>
      </c>
      <c r="B78" s="46">
        <v>43200</v>
      </c>
      <c r="C78" s="46" t="s">
        <v>300</v>
      </c>
      <c r="D78" s="46">
        <v>0</v>
      </c>
      <c r="E78" s="46">
        <v>3</v>
      </c>
      <c r="F78" s="46">
        <v>15</v>
      </c>
      <c r="G78" s="46">
        <v>1</v>
      </c>
      <c r="H78" s="46">
        <v>3</v>
      </c>
      <c r="I78" s="46">
        <v>135</v>
      </c>
      <c r="J78" s="46" t="s">
        <v>326</v>
      </c>
      <c r="K78" s="46" t="s">
        <v>327</v>
      </c>
      <c r="L78" s="46" t="s">
        <v>328</v>
      </c>
      <c r="M78" s="46">
        <v>0</v>
      </c>
      <c r="N78" s="46">
        <v>1</v>
      </c>
      <c r="O78" s="46" t="s">
        <v>303</v>
      </c>
      <c r="P78" s="46" t="s">
        <v>304</v>
      </c>
      <c r="Q78" s="46" t="s">
        <v>305</v>
      </c>
      <c r="R78" s="46" t="s">
        <v>306</v>
      </c>
      <c r="S78" s="54" t="s">
        <v>329</v>
      </c>
      <c r="T78" s="54" t="s">
        <v>307</v>
      </c>
      <c r="U78" s="46">
        <v>71</v>
      </c>
      <c r="V78" s="46">
        <v>180</v>
      </c>
      <c r="W78" s="46">
        <v>9</v>
      </c>
      <c r="X78" s="46" t="s">
        <v>330</v>
      </c>
      <c r="Y78" s="46">
        <v>43200</v>
      </c>
      <c r="Z78" s="46">
        <v>1</v>
      </c>
      <c r="AA78" s="46">
        <v>5</v>
      </c>
      <c r="AB78" s="46">
        <v>260</v>
      </c>
      <c r="AC78" s="46">
        <v>43200</v>
      </c>
      <c r="AD78" s="46" t="s">
        <v>267</v>
      </c>
      <c r="AE78" s="46" t="s">
        <v>309</v>
      </c>
    </row>
    <row r="79" spans="1:31" ht="16.5" customHeight="1">
      <c r="A79" s="46">
        <v>43205</v>
      </c>
      <c r="B79" s="46">
        <v>43200</v>
      </c>
      <c r="C79" s="46" t="s">
        <v>300</v>
      </c>
      <c r="D79" s="46">
        <v>0</v>
      </c>
      <c r="E79" s="46">
        <v>4</v>
      </c>
      <c r="F79" s="46">
        <v>15</v>
      </c>
      <c r="G79" s="46">
        <v>1</v>
      </c>
      <c r="H79" s="46">
        <v>3</v>
      </c>
      <c r="I79" s="46">
        <v>140</v>
      </c>
      <c r="J79" s="46" t="s">
        <v>326</v>
      </c>
      <c r="K79" s="46" t="s">
        <v>327</v>
      </c>
      <c r="L79" s="46" t="s">
        <v>328</v>
      </c>
      <c r="M79" s="46">
        <v>0</v>
      </c>
      <c r="N79" s="46">
        <v>1</v>
      </c>
      <c r="O79" s="46" t="s">
        <v>303</v>
      </c>
      <c r="P79" s="46" t="s">
        <v>304</v>
      </c>
      <c r="Q79" s="46" t="s">
        <v>305</v>
      </c>
      <c r="R79" s="46" t="s">
        <v>306</v>
      </c>
      <c r="S79" s="54" t="s">
        <v>329</v>
      </c>
      <c r="T79" s="54" t="s">
        <v>307</v>
      </c>
      <c r="U79" s="46">
        <v>78</v>
      </c>
      <c r="V79" s="46">
        <v>180</v>
      </c>
      <c r="W79" s="46">
        <v>9</v>
      </c>
      <c r="X79" s="46" t="s">
        <v>330</v>
      </c>
      <c r="Y79" s="46">
        <v>43200</v>
      </c>
      <c r="Z79" s="46">
        <v>1</v>
      </c>
      <c r="AA79" s="46">
        <v>5</v>
      </c>
      <c r="AB79" s="46">
        <v>280</v>
      </c>
      <c r="AC79" s="46">
        <v>43200</v>
      </c>
      <c r="AD79" s="46" t="s">
        <v>267</v>
      </c>
      <c r="AE79" s="46" t="s">
        <v>309</v>
      </c>
    </row>
    <row r="80" spans="1:31" ht="16.5" customHeight="1">
      <c r="A80" s="46">
        <v>43206</v>
      </c>
      <c r="B80" s="46">
        <v>43200</v>
      </c>
      <c r="C80" s="46" t="s">
        <v>300</v>
      </c>
      <c r="D80" s="46">
        <v>0</v>
      </c>
      <c r="E80" s="46">
        <v>5</v>
      </c>
      <c r="F80" s="46">
        <v>35</v>
      </c>
      <c r="G80" s="46">
        <v>1</v>
      </c>
      <c r="H80" s="46">
        <v>3</v>
      </c>
      <c r="I80" s="46">
        <v>145</v>
      </c>
      <c r="J80" s="46" t="s">
        <v>326</v>
      </c>
      <c r="K80" s="46" t="s">
        <v>327</v>
      </c>
      <c r="L80" s="46" t="s">
        <v>328</v>
      </c>
      <c r="M80" s="46">
        <v>0</v>
      </c>
      <c r="N80" s="46">
        <v>1</v>
      </c>
      <c r="O80" s="46" t="s">
        <v>303</v>
      </c>
      <c r="P80" s="46" t="s">
        <v>304</v>
      </c>
      <c r="Q80" s="46" t="s">
        <v>305</v>
      </c>
      <c r="R80" s="46" t="s">
        <v>306</v>
      </c>
      <c r="S80" s="54" t="s">
        <v>329</v>
      </c>
      <c r="T80" s="54" t="s">
        <v>307</v>
      </c>
      <c r="U80" s="46">
        <v>85</v>
      </c>
      <c r="V80" s="46">
        <v>180</v>
      </c>
      <c r="W80" s="46">
        <v>9</v>
      </c>
      <c r="X80" s="46" t="s">
        <v>330</v>
      </c>
      <c r="Y80" s="46">
        <v>43200</v>
      </c>
      <c r="Z80" s="46">
        <v>1</v>
      </c>
      <c r="AA80" s="46">
        <v>5</v>
      </c>
      <c r="AB80" s="46">
        <v>300</v>
      </c>
      <c r="AC80" s="46">
        <v>43200</v>
      </c>
      <c r="AD80" s="46" t="s">
        <v>267</v>
      </c>
      <c r="AE80" s="46" t="s">
        <v>309</v>
      </c>
    </row>
    <row r="81" spans="1:31" ht="16.5" customHeight="1">
      <c r="A81" s="46">
        <v>43207</v>
      </c>
      <c r="B81" s="46">
        <v>43200</v>
      </c>
      <c r="C81" s="46" t="s">
        <v>300</v>
      </c>
      <c r="D81" s="46">
        <v>1</v>
      </c>
      <c r="E81" s="46">
        <v>0</v>
      </c>
      <c r="F81" s="46">
        <v>35</v>
      </c>
      <c r="G81" s="46">
        <v>2</v>
      </c>
      <c r="H81" s="46">
        <v>3</v>
      </c>
      <c r="I81" s="46">
        <v>152</v>
      </c>
      <c r="J81" s="46" t="s">
        <v>326</v>
      </c>
      <c r="K81" s="46" t="s">
        <v>331</v>
      </c>
      <c r="L81" s="46" t="s">
        <v>328</v>
      </c>
      <c r="M81" s="46">
        <v>0</v>
      </c>
      <c r="N81" s="46">
        <v>1</v>
      </c>
      <c r="O81" s="46" t="s">
        <v>303</v>
      </c>
      <c r="P81" s="46" t="s">
        <v>304</v>
      </c>
      <c r="Q81" s="46" t="s">
        <v>305</v>
      </c>
      <c r="R81" s="46" t="s">
        <v>306</v>
      </c>
      <c r="S81" s="54" t="s">
        <v>329</v>
      </c>
      <c r="T81" s="54" t="s">
        <v>307</v>
      </c>
      <c r="U81" s="46">
        <v>92</v>
      </c>
      <c r="V81" s="46">
        <v>230</v>
      </c>
      <c r="W81" s="46">
        <v>9</v>
      </c>
      <c r="X81" s="46" t="s">
        <v>330</v>
      </c>
      <c r="Y81" s="46">
        <v>43200</v>
      </c>
      <c r="Z81" s="46">
        <v>1</v>
      </c>
      <c r="AA81" s="46">
        <v>5</v>
      </c>
      <c r="AB81" s="46">
        <v>320</v>
      </c>
      <c r="AC81" s="46">
        <v>43200</v>
      </c>
      <c r="AD81" s="46" t="s">
        <v>267</v>
      </c>
      <c r="AE81" s="46" t="s">
        <v>309</v>
      </c>
    </row>
    <row r="82" spans="1:31" ht="16.5" customHeight="1">
      <c r="A82" s="46">
        <v>43208</v>
      </c>
      <c r="B82" s="46">
        <v>43200</v>
      </c>
      <c r="C82" s="46" t="s">
        <v>300</v>
      </c>
      <c r="D82" s="46">
        <v>1</v>
      </c>
      <c r="E82" s="46">
        <v>1</v>
      </c>
      <c r="F82" s="46">
        <v>35</v>
      </c>
      <c r="G82" s="46">
        <v>2</v>
      </c>
      <c r="H82" s="46">
        <v>3</v>
      </c>
      <c r="I82" s="46">
        <v>159</v>
      </c>
      <c r="J82" s="46" t="s">
        <v>326</v>
      </c>
      <c r="K82" s="46" t="s">
        <v>331</v>
      </c>
      <c r="L82" s="46" t="s">
        <v>328</v>
      </c>
      <c r="M82" s="46">
        <v>0</v>
      </c>
      <c r="N82" s="46">
        <v>1</v>
      </c>
      <c r="O82" s="46" t="s">
        <v>303</v>
      </c>
      <c r="P82" s="46" t="s">
        <v>304</v>
      </c>
      <c r="Q82" s="46" t="s">
        <v>305</v>
      </c>
      <c r="R82" s="46" t="s">
        <v>306</v>
      </c>
      <c r="S82" s="54" t="s">
        <v>329</v>
      </c>
      <c r="T82" s="54" t="s">
        <v>307</v>
      </c>
      <c r="U82" s="46">
        <v>99</v>
      </c>
      <c r="V82" s="46">
        <v>230</v>
      </c>
      <c r="W82" s="46">
        <v>9</v>
      </c>
      <c r="X82" s="46" t="s">
        <v>330</v>
      </c>
      <c r="Y82" s="46">
        <v>43200</v>
      </c>
      <c r="Z82" s="46">
        <v>1</v>
      </c>
      <c r="AA82" s="46">
        <v>5</v>
      </c>
      <c r="AB82" s="46">
        <v>330</v>
      </c>
      <c r="AC82" s="46">
        <v>43200</v>
      </c>
      <c r="AD82" s="46" t="s">
        <v>267</v>
      </c>
      <c r="AE82" s="46" t="s">
        <v>309</v>
      </c>
    </row>
    <row r="83" spans="1:31" ht="16.5" customHeight="1">
      <c r="A83" s="46">
        <v>43209</v>
      </c>
      <c r="B83" s="46">
        <v>43200</v>
      </c>
      <c r="C83" s="46" t="s">
        <v>300</v>
      </c>
      <c r="D83" s="46">
        <v>1</v>
      </c>
      <c r="E83" s="46">
        <v>2</v>
      </c>
      <c r="F83" s="46">
        <v>35</v>
      </c>
      <c r="G83" s="46">
        <v>2</v>
      </c>
      <c r="H83" s="46">
        <v>3</v>
      </c>
      <c r="I83" s="46">
        <v>166</v>
      </c>
      <c r="J83" s="46" t="s">
        <v>326</v>
      </c>
      <c r="K83" s="46" t="s">
        <v>331</v>
      </c>
      <c r="L83" s="46" t="s">
        <v>328</v>
      </c>
      <c r="M83" s="46">
        <v>0</v>
      </c>
      <c r="N83" s="46">
        <v>1</v>
      </c>
      <c r="O83" s="46" t="s">
        <v>303</v>
      </c>
      <c r="P83" s="46" t="s">
        <v>304</v>
      </c>
      <c r="Q83" s="46" t="s">
        <v>305</v>
      </c>
      <c r="R83" s="46" t="s">
        <v>306</v>
      </c>
      <c r="S83" s="54" t="s">
        <v>329</v>
      </c>
      <c r="T83" s="54" t="s">
        <v>307</v>
      </c>
      <c r="U83" s="46">
        <v>106</v>
      </c>
      <c r="V83" s="46">
        <v>230</v>
      </c>
      <c r="W83" s="46">
        <v>9</v>
      </c>
      <c r="X83" s="46" t="s">
        <v>330</v>
      </c>
      <c r="Y83" s="46">
        <v>43200</v>
      </c>
      <c r="Z83" s="46">
        <v>1</v>
      </c>
      <c r="AA83" s="46">
        <v>5</v>
      </c>
      <c r="AB83" s="46">
        <v>340</v>
      </c>
      <c r="AC83" s="46">
        <v>43200</v>
      </c>
      <c r="AD83" s="46" t="s">
        <v>267</v>
      </c>
      <c r="AE83" s="46" t="s">
        <v>309</v>
      </c>
    </row>
    <row r="84" spans="1:31" ht="16.5" customHeight="1">
      <c r="A84" s="46">
        <v>43210</v>
      </c>
      <c r="B84" s="46">
        <v>43200</v>
      </c>
      <c r="C84" s="46" t="s">
        <v>300</v>
      </c>
      <c r="D84" s="46">
        <v>1</v>
      </c>
      <c r="E84" s="46">
        <v>3</v>
      </c>
      <c r="F84" s="46">
        <v>35</v>
      </c>
      <c r="G84" s="46">
        <v>2</v>
      </c>
      <c r="H84" s="46">
        <v>3</v>
      </c>
      <c r="I84" s="46">
        <v>173</v>
      </c>
      <c r="J84" s="46" t="s">
        <v>326</v>
      </c>
      <c r="K84" s="46" t="s">
        <v>331</v>
      </c>
      <c r="L84" s="46" t="s">
        <v>328</v>
      </c>
      <c r="M84" s="46">
        <v>0</v>
      </c>
      <c r="N84" s="46">
        <v>1</v>
      </c>
      <c r="O84" s="46" t="s">
        <v>303</v>
      </c>
      <c r="P84" s="46" t="s">
        <v>304</v>
      </c>
      <c r="Q84" s="46" t="s">
        <v>305</v>
      </c>
      <c r="R84" s="46" t="s">
        <v>306</v>
      </c>
      <c r="S84" s="54" t="s">
        <v>329</v>
      </c>
      <c r="T84" s="54" t="s">
        <v>307</v>
      </c>
      <c r="U84" s="46">
        <v>113</v>
      </c>
      <c r="V84" s="46">
        <v>230</v>
      </c>
      <c r="W84" s="46">
        <v>9</v>
      </c>
      <c r="X84" s="46" t="s">
        <v>330</v>
      </c>
      <c r="Y84" s="46">
        <v>43200</v>
      </c>
      <c r="Z84" s="46">
        <v>1</v>
      </c>
      <c r="AA84" s="46">
        <v>5</v>
      </c>
      <c r="AB84" s="46">
        <v>350</v>
      </c>
      <c r="AC84" s="46">
        <v>43200</v>
      </c>
      <c r="AD84" s="46" t="s">
        <v>267</v>
      </c>
      <c r="AE84" s="46" t="s">
        <v>309</v>
      </c>
    </row>
    <row r="85" spans="1:31" ht="16.5" customHeight="1">
      <c r="A85" s="46">
        <v>43211</v>
      </c>
      <c r="B85" s="46">
        <v>43200</v>
      </c>
      <c r="C85" s="46" t="s">
        <v>300</v>
      </c>
      <c r="D85" s="46">
        <v>1</v>
      </c>
      <c r="E85" s="46">
        <v>4</v>
      </c>
      <c r="F85" s="46">
        <v>35</v>
      </c>
      <c r="G85" s="46">
        <v>2</v>
      </c>
      <c r="H85" s="46">
        <v>3</v>
      </c>
      <c r="I85" s="46">
        <v>180</v>
      </c>
      <c r="J85" s="46" t="s">
        <v>326</v>
      </c>
      <c r="K85" s="46" t="s">
        <v>331</v>
      </c>
      <c r="L85" s="46" t="s">
        <v>328</v>
      </c>
      <c r="M85" s="46">
        <v>0</v>
      </c>
      <c r="N85" s="46">
        <v>1</v>
      </c>
      <c r="O85" s="46" t="s">
        <v>303</v>
      </c>
      <c r="P85" s="46" t="s">
        <v>304</v>
      </c>
      <c r="Q85" s="46" t="s">
        <v>305</v>
      </c>
      <c r="R85" s="46" t="s">
        <v>306</v>
      </c>
      <c r="S85" s="54" t="s">
        <v>329</v>
      </c>
      <c r="T85" s="54" t="s">
        <v>307</v>
      </c>
      <c r="U85" s="46">
        <v>120</v>
      </c>
      <c r="V85" s="46">
        <v>230</v>
      </c>
      <c r="W85" s="46">
        <v>9</v>
      </c>
      <c r="X85" s="46" t="s">
        <v>330</v>
      </c>
      <c r="Y85" s="46">
        <v>43200</v>
      </c>
      <c r="Z85" s="46">
        <v>1</v>
      </c>
      <c r="AA85" s="46">
        <v>5</v>
      </c>
      <c r="AB85" s="46">
        <v>360</v>
      </c>
      <c r="AC85" s="46">
        <v>43200</v>
      </c>
      <c r="AD85" s="46" t="s">
        <v>267</v>
      </c>
      <c r="AE85" s="46" t="s">
        <v>309</v>
      </c>
    </row>
    <row r="86" spans="1:31" ht="16.5" customHeight="1">
      <c r="A86" s="46">
        <v>43212</v>
      </c>
      <c r="B86" s="46">
        <v>43200</v>
      </c>
      <c r="C86" s="46" t="s">
        <v>300</v>
      </c>
      <c r="D86" s="46">
        <v>1</v>
      </c>
      <c r="E86" s="46">
        <v>5</v>
      </c>
      <c r="F86" s="46">
        <v>70</v>
      </c>
      <c r="G86" s="46">
        <v>2</v>
      </c>
      <c r="H86" s="46">
        <v>3</v>
      </c>
      <c r="I86" s="46">
        <v>187</v>
      </c>
      <c r="J86" s="46" t="s">
        <v>326</v>
      </c>
      <c r="K86" s="46" t="s">
        <v>331</v>
      </c>
      <c r="L86" s="46" t="s">
        <v>328</v>
      </c>
      <c r="M86" s="46">
        <v>0</v>
      </c>
      <c r="N86" s="46">
        <v>1</v>
      </c>
      <c r="O86" s="46" t="s">
        <v>303</v>
      </c>
      <c r="P86" s="46" t="s">
        <v>304</v>
      </c>
      <c r="Q86" s="46" t="s">
        <v>305</v>
      </c>
      <c r="R86" s="46" t="s">
        <v>306</v>
      </c>
      <c r="S86" s="54" t="s">
        <v>329</v>
      </c>
      <c r="T86" s="54" t="s">
        <v>307</v>
      </c>
      <c r="U86" s="46">
        <v>127</v>
      </c>
      <c r="V86" s="46">
        <v>230</v>
      </c>
      <c r="W86" s="46">
        <v>9</v>
      </c>
      <c r="X86" s="46" t="s">
        <v>330</v>
      </c>
      <c r="Y86" s="46">
        <v>43200</v>
      </c>
      <c r="Z86" s="46">
        <v>1</v>
      </c>
      <c r="AA86" s="46">
        <v>5</v>
      </c>
      <c r="AB86" s="46">
        <v>370</v>
      </c>
      <c r="AC86" s="46">
        <v>43200</v>
      </c>
      <c r="AD86" s="46" t="s">
        <v>267</v>
      </c>
      <c r="AE86" s="46" t="s">
        <v>309</v>
      </c>
    </row>
    <row r="87" spans="1:31" ht="16.5" customHeight="1">
      <c r="A87" s="46">
        <v>43213</v>
      </c>
      <c r="B87" s="46">
        <v>43200</v>
      </c>
      <c r="C87" s="46" t="s">
        <v>300</v>
      </c>
      <c r="D87" s="46">
        <v>2</v>
      </c>
      <c r="E87" s="46">
        <v>0</v>
      </c>
      <c r="F87" s="46">
        <v>70</v>
      </c>
      <c r="G87" s="46">
        <v>4</v>
      </c>
      <c r="H87" s="46">
        <v>3</v>
      </c>
      <c r="I87" s="46">
        <v>200</v>
      </c>
      <c r="J87" s="46" t="s">
        <v>326</v>
      </c>
      <c r="K87" s="46" t="s">
        <v>332</v>
      </c>
      <c r="L87" s="46" t="s">
        <v>328</v>
      </c>
      <c r="M87" s="46">
        <v>0</v>
      </c>
      <c r="N87" s="46">
        <v>1</v>
      </c>
      <c r="O87" s="46" t="s">
        <v>303</v>
      </c>
      <c r="P87" s="46" t="s">
        <v>304</v>
      </c>
      <c r="Q87" s="46" t="s">
        <v>305</v>
      </c>
      <c r="R87" s="46" t="s">
        <v>306</v>
      </c>
      <c r="S87" s="54" t="s">
        <v>329</v>
      </c>
      <c r="T87" s="54" t="s">
        <v>307</v>
      </c>
      <c r="U87" s="46">
        <v>134</v>
      </c>
      <c r="V87" s="46">
        <v>280</v>
      </c>
      <c r="W87" s="46">
        <v>9</v>
      </c>
      <c r="X87" s="46" t="s">
        <v>330</v>
      </c>
      <c r="Y87" s="46">
        <v>43200</v>
      </c>
      <c r="Z87" s="46">
        <v>1</v>
      </c>
      <c r="AA87" s="46">
        <v>5</v>
      </c>
      <c r="AB87" s="46">
        <v>380</v>
      </c>
      <c r="AC87" s="46">
        <v>43200</v>
      </c>
      <c r="AD87" s="46" t="s">
        <v>267</v>
      </c>
      <c r="AE87" s="46" t="s">
        <v>309</v>
      </c>
    </row>
    <row r="88" spans="1:31" ht="16.5" customHeight="1">
      <c r="A88" s="46">
        <v>43214</v>
      </c>
      <c r="B88" s="46">
        <v>43200</v>
      </c>
      <c r="C88" s="46" t="s">
        <v>300</v>
      </c>
      <c r="D88" s="46">
        <v>2</v>
      </c>
      <c r="E88" s="46">
        <v>1</v>
      </c>
      <c r="F88" s="46">
        <v>70</v>
      </c>
      <c r="G88" s="46">
        <v>4</v>
      </c>
      <c r="H88" s="46">
        <v>3</v>
      </c>
      <c r="I88" s="46">
        <v>213</v>
      </c>
      <c r="J88" s="46" t="s">
        <v>326</v>
      </c>
      <c r="K88" s="46" t="s">
        <v>332</v>
      </c>
      <c r="L88" s="46" t="s">
        <v>328</v>
      </c>
      <c r="M88" s="46">
        <v>0</v>
      </c>
      <c r="N88" s="46">
        <v>1</v>
      </c>
      <c r="O88" s="46" t="s">
        <v>303</v>
      </c>
      <c r="P88" s="46" t="s">
        <v>304</v>
      </c>
      <c r="Q88" s="46" t="s">
        <v>305</v>
      </c>
      <c r="R88" s="46" t="s">
        <v>306</v>
      </c>
      <c r="S88" s="54" t="s">
        <v>329</v>
      </c>
      <c r="T88" s="54" t="s">
        <v>307</v>
      </c>
      <c r="U88" s="46">
        <v>141</v>
      </c>
      <c r="V88" s="46">
        <v>280</v>
      </c>
      <c r="W88" s="46">
        <v>9</v>
      </c>
      <c r="X88" s="46" t="s">
        <v>330</v>
      </c>
      <c r="Y88" s="46">
        <v>43200</v>
      </c>
      <c r="Z88" s="46">
        <v>1</v>
      </c>
      <c r="AA88" s="46">
        <v>5</v>
      </c>
      <c r="AB88" s="46">
        <v>390</v>
      </c>
      <c r="AC88" s="46">
        <v>43200</v>
      </c>
      <c r="AD88" s="46" t="s">
        <v>267</v>
      </c>
      <c r="AE88" s="46" t="s">
        <v>309</v>
      </c>
    </row>
    <row r="89" spans="1:31" ht="16.5" customHeight="1">
      <c r="A89" s="46">
        <v>43215</v>
      </c>
      <c r="B89" s="46">
        <v>43200</v>
      </c>
      <c r="C89" s="46" t="s">
        <v>300</v>
      </c>
      <c r="D89" s="46">
        <v>2</v>
      </c>
      <c r="E89" s="46">
        <v>2</v>
      </c>
      <c r="F89" s="46">
        <v>70</v>
      </c>
      <c r="G89" s="46">
        <v>4</v>
      </c>
      <c r="H89" s="46">
        <v>3</v>
      </c>
      <c r="I89" s="46">
        <v>226</v>
      </c>
      <c r="J89" s="46" t="s">
        <v>326</v>
      </c>
      <c r="K89" s="46" t="s">
        <v>332</v>
      </c>
      <c r="L89" s="46" t="s">
        <v>328</v>
      </c>
      <c r="M89" s="46">
        <v>0</v>
      </c>
      <c r="N89" s="46">
        <v>1</v>
      </c>
      <c r="O89" s="46" t="s">
        <v>303</v>
      </c>
      <c r="P89" s="46" t="s">
        <v>304</v>
      </c>
      <c r="Q89" s="46" t="s">
        <v>305</v>
      </c>
      <c r="R89" s="46" t="s">
        <v>306</v>
      </c>
      <c r="S89" s="54" t="s">
        <v>329</v>
      </c>
      <c r="T89" s="54" t="s">
        <v>307</v>
      </c>
      <c r="U89" s="46">
        <v>148</v>
      </c>
      <c r="V89" s="46">
        <v>280</v>
      </c>
      <c r="W89" s="46">
        <v>9</v>
      </c>
      <c r="X89" s="46" t="s">
        <v>330</v>
      </c>
      <c r="Y89" s="46">
        <v>43200</v>
      </c>
      <c r="Z89" s="46">
        <v>1</v>
      </c>
      <c r="AA89" s="46">
        <v>5</v>
      </c>
      <c r="AB89" s="46">
        <v>400</v>
      </c>
      <c r="AC89" s="46">
        <v>43200</v>
      </c>
      <c r="AD89" s="46" t="s">
        <v>267</v>
      </c>
      <c r="AE89" s="46" t="s">
        <v>309</v>
      </c>
    </row>
    <row r="90" spans="1:31" ht="16.5" customHeight="1">
      <c r="A90" s="46">
        <v>43216</v>
      </c>
      <c r="B90" s="46">
        <v>43200</v>
      </c>
      <c r="C90" s="46" t="s">
        <v>300</v>
      </c>
      <c r="D90" s="46">
        <v>2</v>
      </c>
      <c r="E90" s="46">
        <v>3</v>
      </c>
      <c r="F90" s="46">
        <v>70</v>
      </c>
      <c r="G90" s="46">
        <v>4</v>
      </c>
      <c r="H90" s="46">
        <v>3</v>
      </c>
      <c r="I90" s="46">
        <v>239</v>
      </c>
      <c r="J90" s="46" t="s">
        <v>326</v>
      </c>
      <c r="K90" s="46" t="s">
        <v>332</v>
      </c>
      <c r="L90" s="46" t="s">
        <v>328</v>
      </c>
      <c r="M90" s="46">
        <v>0</v>
      </c>
      <c r="N90" s="46">
        <v>1</v>
      </c>
      <c r="O90" s="46" t="s">
        <v>303</v>
      </c>
      <c r="P90" s="46" t="s">
        <v>304</v>
      </c>
      <c r="Q90" s="46" t="s">
        <v>305</v>
      </c>
      <c r="R90" s="46" t="s">
        <v>306</v>
      </c>
      <c r="S90" s="54" t="s">
        <v>329</v>
      </c>
      <c r="T90" s="54" t="s">
        <v>307</v>
      </c>
      <c r="U90" s="46">
        <v>155</v>
      </c>
      <c r="V90" s="46">
        <v>280</v>
      </c>
      <c r="W90" s="46">
        <v>9</v>
      </c>
      <c r="X90" s="46" t="s">
        <v>330</v>
      </c>
      <c r="Y90" s="46">
        <v>43200</v>
      </c>
      <c r="Z90" s="46">
        <v>1</v>
      </c>
      <c r="AA90" s="46">
        <v>5</v>
      </c>
      <c r="AB90" s="46">
        <v>410</v>
      </c>
      <c r="AC90" s="46">
        <v>43200</v>
      </c>
      <c r="AD90" s="46" t="s">
        <v>267</v>
      </c>
      <c r="AE90" s="46" t="s">
        <v>309</v>
      </c>
    </row>
    <row r="91" spans="1:31" ht="16.5" customHeight="1">
      <c r="A91" s="46">
        <v>43217</v>
      </c>
      <c r="B91" s="46">
        <v>43200</v>
      </c>
      <c r="C91" s="46" t="s">
        <v>300</v>
      </c>
      <c r="D91" s="46">
        <v>2</v>
      </c>
      <c r="E91" s="46">
        <v>4</v>
      </c>
      <c r="F91" s="46">
        <v>70</v>
      </c>
      <c r="G91" s="46">
        <v>4</v>
      </c>
      <c r="H91" s="46">
        <v>3</v>
      </c>
      <c r="I91" s="46">
        <v>252</v>
      </c>
      <c r="J91" s="46" t="s">
        <v>326</v>
      </c>
      <c r="K91" s="46" t="s">
        <v>332</v>
      </c>
      <c r="L91" s="46" t="s">
        <v>328</v>
      </c>
      <c r="M91" s="46">
        <v>0</v>
      </c>
      <c r="N91" s="46">
        <v>1</v>
      </c>
      <c r="O91" s="46" t="s">
        <v>303</v>
      </c>
      <c r="P91" s="46" t="s">
        <v>304</v>
      </c>
      <c r="Q91" s="46" t="s">
        <v>305</v>
      </c>
      <c r="R91" s="46" t="s">
        <v>306</v>
      </c>
      <c r="S91" s="54" t="s">
        <v>329</v>
      </c>
      <c r="T91" s="54" t="s">
        <v>307</v>
      </c>
      <c r="U91" s="46">
        <v>162</v>
      </c>
      <c r="V91" s="46">
        <v>280</v>
      </c>
      <c r="W91" s="46">
        <v>9</v>
      </c>
      <c r="X91" s="46" t="s">
        <v>330</v>
      </c>
      <c r="Y91" s="46">
        <v>43200</v>
      </c>
      <c r="Z91" s="46">
        <v>1</v>
      </c>
      <c r="AA91" s="46">
        <v>5</v>
      </c>
      <c r="AB91" s="46">
        <v>420</v>
      </c>
      <c r="AC91" s="46">
        <v>43200</v>
      </c>
      <c r="AD91" s="46" t="s">
        <v>267</v>
      </c>
      <c r="AE91" s="46" t="s">
        <v>309</v>
      </c>
    </row>
    <row r="92" spans="1:31" ht="16.5" customHeight="1">
      <c r="A92" s="46">
        <v>43218</v>
      </c>
      <c r="B92" s="46">
        <v>43200</v>
      </c>
      <c r="C92" s="46" t="s">
        <v>300</v>
      </c>
      <c r="D92" s="46">
        <v>2</v>
      </c>
      <c r="E92" s="46">
        <v>5</v>
      </c>
      <c r="F92" s="46">
        <v>100</v>
      </c>
      <c r="G92" s="46">
        <v>4</v>
      </c>
      <c r="H92" s="46">
        <v>4</v>
      </c>
      <c r="I92" s="46">
        <v>265</v>
      </c>
      <c r="J92" s="46" t="s">
        <v>326</v>
      </c>
      <c r="K92" s="46" t="s">
        <v>332</v>
      </c>
      <c r="L92" s="46" t="s">
        <v>328</v>
      </c>
      <c r="M92" s="46">
        <v>0</v>
      </c>
      <c r="N92" s="46">
        <v>1</v>
      </c>
      <c r="O92" s="46" t="s">
        <v>303</v>
      </c>
      <c r="P92" s="46" t="s">
        <v>304</v>
      </c>
      <c r="Q92" s="46" t="s">
        <v>305</v>
      </c>
      <c r="R92" s="46" t="s">
        <v>306</v>
      </c>
      <c r="S92" s="54" t="s">
        <v>329</v>
      </c>
      <c r="T92" s="54" t="s">
        <v>307</v>
      </c>
      <c r="U92" s="46">
        <v>169</v>
      </c>
      <c r="V92" s="46">
        <v>280</v>
      </c>
      <c r="W92" s="46">
        <v>9</v>
      </c>
      <c r="X92" s="46" t="s">
        <v>330</v>
      </c>
      <c r="Y92" s="46">
        <v>43200</v>
      </c>
      <c r="Z92" s="46">
        <v>1</v>
      </c>
      <c r="AA92" s="46">
        <v>5</v>
      </c>
      <c r="AB92" s="46">
        <v>430</v>
      </c>
      <c r="AC92" s="46">
        <v>43200</v>
      </c>
      <c r="AD92" s="46" t="s">
        <v>267</v>
      </c>
      <c r="AE92" s="46" t="s">
        <v>309</v>
      </c>
    </row>
    <row r="93" spans="1:31" ht="16.5" customHeight="1">
      <c r="A93" s="46">
        <v>43219</v>
      </c>
      <c r="B93" s="46">
        <v>43200</v>
      </c>
      <c r="C93" s="46" t="s">
        <v>300</v>
      </c>
      <c r="D93" s="46">
        <v>3</v>
      </c>
      <c r="E93" s="46">
        <v>0</v>
      </c>
      <c r="F93" s="46">
        <v>100</v>
      </c>
      <c r="G93" s="46">
        <v>8</v>
      </c>
      <c r="H93" s="46">
        <v>4</v>
      </c>
      <c r="I93" s="46">
        <v>283</v>
      </c>
      <c r="J93" s="46" t="s">
        <v>326</v>
      </c>
      <c r="K93" s="46" t="s">
        <v>333</v>
      </c>
      <c r="L93" s="46" t="s">
        <v>328</v>
      </c>
      <c r="M93" s="46">
        <v>0</v>
      </c>
      <c r="N93" s="46">
        <v>1</v>
      </c>
      <c r="O93" s="46" t="s">
        <v>303</v>
      </c>
      <c r="P93" s="46" t="s">
        <v>304</v>
      </c>
      <c r="Q93" s="46" t="s">
        <v>305</v>
      </c>
      <c r="R93" s="46" t="s">
        <v>306</v>
      </c>
      <c r="S93" s="54" t="s">
        <v>329</v>
      </c>
      <c r="T93" s="54" t="s">
        <v>307</v>
      </c>
      <c r="U93" s="46">
        <v>176</v>
      </c>
      <c r="V93" s="46">
        <v>330</v>
      </c>
      <c r="W93" s="46">
        <v>9</v>
      </c>
      <c r="X93" s="46" t="s">
        <v>330</v>
      </c>
      <c r="Y93" s="46">
        <v>43200</v>
      </c>
      <c r="Z93" s="46">
        <v>1</v>
      </c>
      <c r="AA93" s="46">
        <v>5</v>
      </c>
      <c r="AB93" s="46">
        <v>440</v>
      </c>
      <c r="AC93" s="46">
        <v>43200</v>
      </c>
      <c r="AD93" s="46" t="s">
        <v>267</v>
      </c>
      <c r="AE93" s="46" t="s">
        <v>309</v>
      </c>
    </row>
    <row r="94" spans="1:31" ht="16.5" customHeight="1">
      <c r="A94" s="46">
        <v>43220</v>
      </c>
      <c r="B94" s="46">
        <v>43200</v>
      </c>
      <c r="C94" s="46" t="s">
        <v>300</v>
      </c>
      <c r="D94" s="46">
        <v>3</v>
      </c>
      <c r="E94" s="46">
        <v>1</v>
      </c>
      <c r="F94" s="46">
        <v>100</v>
      </c>
      <c r="G94" s="46">
        <v>8</v>
      </c>
      <c r="H94" s="46">
        <v>4</v>
      </c>
      <c r="I94" s="46">
        <v>301</v>
      </c>
      <c r="J94" s="46" t="s">
        <v>326</v>
      </c>
      <c r="K94" s="46" t="s">
        <v>333</v>
      </c>
      <c r="L94" s="46" t="s">
        <v>328</v>
      </c>
      <c r="M94" s="46">
        <v>0</v>
      </c>
      <c r="N94" s="46">
        <v>1</v>
      </c>
      <c r="O94" s="46" t="s">
        <v>303</v>
      </c>
      <c r="P94" s="46" t="s">
        <v>304</v>
      </c>
      <c r="Q94" s="46" t="s">
        <v>305</v>
      </c>
      <c r="R94" s="46" t="s">
        <v>306</v>
      </c>
      <c r="S94" s="54" t="s">
        <v>329</v>
      </c>
      <c r="T94" s="54" t="s">
        <v>307</v>
      </c>
      <c r="U94" s="46">
        <v>183</v>
      </c>
      <c r="V94" s="46">
        <v>330</v>
      </c>
      <c r="W94" s="46">
        <v>9</v>
      </c>
      <c r="X94" s="46" t="s">
        <v>330</v>
      </c>
      <c r="Y94" s="46">
        <v>43200</v>
      </c>
      <c r="Z94" s="46">
        <v>1</v>
      </c>
      <c r="AA94" s="46">
        <v>5</v>
      </c>
      <c r="AB94" s="46">
        <v>450</v>
      </c>
      <c r="AC94" s="46">
        <v>43200</v>
      </c>
      <c r="AD94" s="46" t="s">
        <v>267</v>
      </c>
      <c r="AE94" s="46" t="s">
        <v>309</v>
      </c>
    </row>
    <row r="95" spans="1:31" ht="16.5" customHeight="1">
      <c r="A95" s="46">
        <v>43221</v>
      </c>
      <c r="B95" s="46">
        <v>43200</v>
      </c>
      <c r="C95" s="46" t="s">
        <v>300</v>
      </c>
      <c r="D95" s="46">
        <v>3</v>
      </c>
      <c r="E95" s="46">
        <v>2</v>
      </c>
      <c r="F95" s="46">
        <v>100</v>
      </c>
      <c r="G95" s="46">
        <v>8</v>
      </c>
      <c r="H95" s="46">
        <v>4</v>
      </c>
      <c r="I95" s="46">
        <v>319</v>
      </c>
      <c r="J95" s="46" t="s">
        <v>326</v>
      </c>
      <c r="K95" s="46" t="s">
        <v>333</v>
      </c>
      <c r="L95" s="46" t="s">
        <v>328</v>
      </c>
      <c r="M95" s="46">
        <v>0</v>
      </c>
      <c r="N95" s="46">
        <v>1</v>
      </c>
      <c r="O95" s="46" t="s">
        <v>303</v>
      </c>
      <c r="P95" s="46" t="s">
        <v>304</v>
      </c>
      <c r="Q95" s="46" t="s">
        <v>305</v>
      </c>
      <c r="R95" s="46" t="s">
        <v>306</v>
      </c>
      <c r="S95" s="54" t="s">
        <v>329</v>
      </c>
      <c r="T95" s="54" t="s">
        <v>307</v>
      </c>
      <c r="U95" s="46">
        <v>190</v>
      </c>
      <c r="V95" s="46">
        <v>330</v>
      </c>
      <c r="W95" s="46">
        <v>9</v>
      </c>
      <c r="X95" s="46" t="s">
        <v>330</v>
      </c>
      <c r="Y95" s="46">
        <v>43200</v>
      </c>
      <c r="Z95" s="46">
        <v>1</v>
      </c>
      <c r="AA95" s="46">
        <v>5</v>
      </c>
      <c r="AB95" s="46">
        <v>460</v>
      </c>
      <c r="AC95" s="46">
        <v>43200</v>
      </c>
      <c r="AD95" s="46" t="s">
        <v>267</v>
      </c>
      <c r="AE95" s="46" t="s">
        <v>309</v>
      </c>
    </row>
    <row r="96" spans="1:31" ht="16.5" customHeight="1">
      <c r="A96" s="46">
        <v>43222</v>
      </c>
      <c r="B96" s="46">
        <v>43200</v>
      </c>
      <c r="C96" s="46" t="s">
        <v>300</v>
      </c>
      <c r="D96" s="46">
        <v>3</v>
      </c>
      <c r="E96" s="46">
        <v>3</v>
      </c>
      <c r="F96" s="46">
        <v>100</v>
      </c>
      <c r="G96" s="46">
        <v>8</v>
      </c>
      <c r="H96" s="46">
        <v>4</v>
      </c>
      <c r="I96" s="46">
        <v>337</v>
      </c>
      <c r="J96" s="46" t="s">
        <v>326</v>
      </c>
      <c r="K96" s="46" t="s">
        <v>333</v>
      </c>
      <c r="L96" s="46" t="s">
        <v>328</v>
      </c>
      <c r="M96" s="46">
        <v>0</v>
      </c>
      <c r="N96" s="46">
        <v>1</v>
      </c>
      <c r="O96" s="46" t="s">
        <v>303</v>
      </c>
      <c r="P96" s="46" t="s">
        <v>304</v>
      </c>
      <c r="Q96" s="46" t="s">
        <v>305</v>
      </c>
      <c r="R96" s="46" t="s">
        <v>306</v>
      </c>
      <c r="S96" s="54" t="s">
        <v>329</v>
      </c>
      <c r="T96" s="54" t="s">
        <v>307</v>
      </c>
      <c r="U96" s="46">
        <v>197</v>
      </c>
      <c r="V96" s="46">
        <v>330</v>
      </c>
      <c r="W96" s="46">
        <v>9</v>
      </c>
      <c r="X96" s="46" t="s">
        <v>330</v>
      </c>
      <c r="Y96" s="46">
        <v>43200</v>
      </c>
      <c r="Z96" s="46">
        <v>1</v>
      </c>
      <c r="AA96" s="46">
        <v>5</v>
      </c>
      <c r="AB96" s="46">
        <v>470</v>
      </c>
      <c r="AC96" s="46">
        <v>43200</v>
      </c>
      <c r="AD96" s="46" t="s">
        <v>267</v>
      </c>
      <c r="AE96" s="46" t="s">
        <v>309</v>
      </c>
    </row>
    <row r="97" spans="1:31" ht="16.5" customHeight="1">
      <c r="A97" s="46">
        <v>43223</v>
      </c>
      <c r="B97" s="46">
        <v>43200</v>
      </c>
      <c r="C97" s="46" t="s">
        <v>300</v>
      </c>
      <c r="D97" s="46">
        <v>3</v>
      </c>
      <c r="E97" s="46">
        <v>4</v>
      </c>
      <c r="F97" s="46">
        <v>100</v>
      </c>
      <c r="G97" s="46">
        <v>8</v>
      </c>
      <c r="H97" s="46">
        <v>4</v>
      </c>
      <c r="I97" s="46">
        <v>355</v>
      </c>
      <c r="J97" s="46" t="s">
        <v>326</v>
      </c>
      <c r="K97" s="46" t="s">
        <v>333</v>
      </c>
      <c r="L97" s="46" t="s">
        <v>328</v>
      </c>
      <c r="M97" s="46">
        <v>0</v>
      </c>
      <c r="N97" s="46">
        <v>1</v>
      </c>
      <c r="O97" s="46" t="s">
        <v>303</v>
      </c>
      <c r="P97" s="46" t="s">
        <v>304</v>
      </c>
      <c r="Q97" s="46" t="s">
        <v>305</v>
      </c>
      <c r="R97" s="46" t="s">
        <v>306</v>
      </c>
      <c r="S97" s="54" t="s">
        <v>329</v>
      </c>
      <c r="T97" s="54" t="s">
        <v>307</v>
      </c>
      <c r="U97" s="46">
        <v>204</v>
      </c>
      <c r="V97" s="46">
        <v>330</v>
      </c>
      <c r="W97" s="46">
        <v>9</v>
      </c>
      <c r="X97" s="46" t="s">
        <v>330</v>
      </c>
      <c r="Y97" s="46">
        <v>43200</v>
      </c>
      <c r="Z97" s="46">
        <v>1</v>
      </c>
      <c r="AA97" s="46">
        <v>5</v>
      </c>
      <c r="AB97" s="46">
        <v>480</v>
      </c>
      <c r="AC97" s="46">
        <v>43200</v>
      </c>
      <c r="AD97" s="46" t="s">
        <v>267</v>
      </c>
      <c r="AE97" s="46" t="s">
        <v>309</v>
      </c>
    </row>
    <row r="98" spans="1:31" ht="16.5" customHeight="1">
      <c r="A98" s="46">
        <v>43224</v>
      </c>
      <c r="B98" s="46">
        <v>43200</v>
      </c>
      <c r="C98" s="46" t="s">
        <v>300</v>
      </c>
      <c r="D98" s="46">
        <v>3</v>
      </c>
      <c r="E98" s="46">
        <v>5</v>
      </c>
      <c r="F98" s="46">
        <v>200</v>
      </c>
      <c r="G98" s="46">
        <v>8</v>
      </c>
      <c r="H98" s="46">
        <v>5</v>
      </c>
      <c r="I98" s="46">
        <v>373</v>
      </c>
      <c r="J98" s="46" t="s">
        <v>326</v>
      </c>
      <c r="K98" s="46" t="s">
        <v>333</v>
      </c>
      <c r="L98" s="46" t="s">
        <v>328</v>
      </c>
      <c r="M98" s="46">
        <v>0</v>
      </c>
      <c r="N98" s="46">
        <v>1</v>
      </c>
      <c r="O98" s="46" t="s">
        <v>303</v>
      </c>
      <c r="P98" s="46" t="s">
        <v>304</v>
      </c>
      <c r="Q98" s="46" t="s">
        <v>305</v>
      </c>
      <c r="R98" s="46" t="s">
        <v>306</v>
      </c>
      <c r="S98" s="54" t="s">
        <v>329</v>
      </c>
      <c r="T98" s="54" t="s">
        <v>307</v>
      </c>
      <c r="U98" s="46">
        <v>211</v>
      </c>
      <c r="V98" s="46">
        <v>330</v>
      </c>
      <c r="W98" s="46">
        <v>9</v>
      </c>
      <c r="X98" s="46" t="s">
        <v>330</v>
      </c>
      <c r="Y98" s="46">
        <v>43200</v>
      </c>
      <c r="Z98" s="46">
        <v>1</v>
      </c>
      <c r="AA98" s="46">
        <v>5</v>
      </c>
      <c r="AB98" s="46">
        <v>490</v>
      </c>
      <c r="AC98" s="46">
        <v>43200</v>
      </c>
      <c r="AD98" s="46" t="s">
        <v>267</v>
      </c>
      <c r="AE98" s="46" t="s">
        <v>309</v>
      </c>
    </row>
    <row r="99" spans="1:31" ht="16.5" customHeight="1">
      <c r="A99" s="46">
        <v>43225</v>
      </c>
      <c r="B99" s="46">
        <v>43200</v>
      </c>
      <c r="C99" s="46" t="s">
        <v>300</v>
      </c>
      <c r="D99" s="46">
        <v>4</v>
      </c>
      <c r="E99" s="46">
        <v>0</v>
      </c>
      <c r="F99" s="46">
        <v>300</v>
      </c>
      <c r="G99" s="46">
        <v>24</v>
      </c>
      <c r="H99" s="46">
        <v>5</v>
      </c>
      <c r="I99" s="46">
        <v>396</v>
      </c>
      <c r="J99" s="46" t="s">
        <v>326</v>
      </c>
      <c r="K99" s="46" t="s">
        <v>334</v>
      </c>
      <c r="L99" s="46" t="s">
        <v>328</v>
      </c>
      <c r="M99" s="46">
        <v>0</v>
      </c>
      <c r="N99" s="46">
        <v>1</v>
      </c>
      <c r="O99" s="46" t="s">
        <v>303</v>
      </c>
      <c r="P99" s="46" t="s">
        <v>304</v>
      </c>
      <c r="Q99" s="46" t="s">
        <v>305</v>
      </c>
      <c r="R99" s="46" t="s">
        <v>306</v>
      </c>
      <c r="S99" s="54" t="s">
        <v>329</v>
      </c>
      <c r="T99" s="54" t="s">
        <v>307</v>
      </c>
      <c r="U99" s="46">
        <v>218</v>
      </c>
      <c r="V99" s="46">
        <v>380</v>
      </c>
      <c r="W99" s="46">
        <v>9</v>
      </c>
      <c r="X99" s="46" t="s">
        <v>330</v>
      </c>
      <c r="Y99" s="46">
        <v>43200</v>
      </c>
      <c r="Z99" s="46">
        <v>1</v>
      </c>
      <c r="AA99" s="46">
        <v>5</v>
      </c>
      <c r="AB99" s="46">
        <v>500</v>
      </c>
      <c r="AC99" s="46">
        <v>43200</v>
      </c>
      <c r="AD99" s="46" t="s">
        <v>267</v>
      </c>
      <c r="AE99" s="46" t="s">
        <v>309</v>
      </c>
    </row>
    <row r="100" spans="1:31" ht="16.5" customHeight="1">
      <c r="A100" s="46">
        <v>43226</v>
      </c>
      <c r="B100" s="46">
        <v>43200</v>
      </c>
      <c r="C100" s="46" t="s">
        <v>300</v>
      </c>
      <c r="D100" s="46">
        <v>4</v>
      </c>
      <c r="E100" s="46">
        <v>1</v>
      </c>
      <c r="F100" s="46">
        <v>400</v>
      </c>
      <c r="G100" s="46">
        <v>24</v>
      </c>
      <c r="H100" s="46">
        <v>5</v>
      </c>
      <c r="I100" s="46">
        <v>419</v>
      </c>
      <c r="J100" s="46" t="s">
        <v>326</v>
      </c>
      <c r="K100" s="46" t="s">
        <v>334</v>
      </c>
      <c r="L100" s="46" t="s">
        <v>328</v>
      </c>
      <c r="M100" s="46">
        <v>0</v>
      </c>
      <c r="N100" s="46">
        <v>1</v>
      </c>
      <c r="O100" s="46" t="s">
        <v>303</v>
      </c>
      <c r="P100" s="46" t="s">
        <v>304</v>
      </c>
      <c r="Q100" s="46" t="s">
        <v>305</v>
      </c>
      <c r="R100" s="46" t="s">
        <v>306</v>
      </c>
      <c r="S100" s="54" t="s">
        <v>329</v>
      </c>
      <c r="T100" s="54" t="s">
        <v>307</v>
      </c>
      <c r="U100" s="46">
        <v>225</v>
      </c>
      <c r="V100" s="46">
        <v>380</v>
      </c>
      <c r="W100" s="46">
        <v>9</v>
      </c>
      <c r="X100" s="46" t="s">
        <v>330</v>
      </c>
      <c r="Y100" s="46">
        <v>43200</v>
      </c>
      <c r="Z100" s="46">
        <v>1</v>
      </c>
      <c r="AA100" s="46">
        <v>5</v>
      </c>
      <c r="AB100" s="46">
        <v>510</v>
      </c>
      <c r="AC100" s="46">
        <v>43200</v>
      </c>
      <c r="AD100" s="46" t="s">
        <v>267</v>
      </c>
      <c r="AE100" s="46" t="s">
        <v>309</v>
      </c>
    </row>
    <row r="101" spans="1:31" ht="16.5" customHeight="1">
      <c r="A101" s="46">
        <v>43227</v>
      </c>
      <c r="B101" s="46">
        <v>43200</v>
      </c>
      <c r="C101" s="46" t="s">
        <v>300</v>
      </c>
      <c r="D101" s="46">
        <v>4</v>
      </c>
      <c r="E101" s="46">
        <v>2</v>
      </c>
      <c r="F101" s="46">
        <v>500</v>
      </c>
      <c r="G101" s="46">
        <v>24</v>
      </c>
      <c r="H101" s="46">
        <v>5</v>
      </c>
      <c r="I101" s="46">
        <v>442</v>
      </c>
      <c r="J101" s="46" t="s">
        <v>326</v>
      </c>
      <c r="K101" s="46" t="s">
        <v>334</v>
      </c>
      <c r="L101" s="46" t="s">
        <v>328</v>
      </c>
      <c r="M101" s="46">
        <v>0</v>
      </c>
      <c r="N101" s="46">
        <v>1</v>
      </c>
      <c r="O101" s="46" t="s">
        <v>303</v>
      </c>
      <c r="P101" s="46" t="s">
        <v>304</v>
      </c>
      <c r="Q101" s="46" t="s">
        <v>305</v>
      </c>
      <c r="R101" s="46" t="s">
        <v>306</v>
      </c>
      <c r="S101" s="54" t="s">
        <v>329</v>
      </c>
      <c r="T101" s="54" t="s">
        <v>307</v>
      </c>
      <c r="U101" s="46">
        <v>232</v>
      </c>
      <c r="V101" s="46">
        <v>380</v>
      </c>
      <c r="W101" s="46">
        <v>9</v>
      </c>
      <c r="X101" s="46" t="s">
        <v>330</v>
      </c>
      <c r="Y101" s="46">
        <v>43200</v>
      </c>
      <c r="Z101" s="46">
        <v>1</v>
      </c>
      <c r="AA101" s="46">
        <v>5</v>
      </c>
      <c r="AB101" s="46">
        <v>520</v>
      </c>
      <c r="AC101" s="46">
        <v>43200</v>
      </c>
      <c r="AD101" s="46" t="s">
        <v>267</v>
      </c>
      <c r="AE101" s="46" t="s">
        <v>309</v>
      </c>
    </row>
    <row r="102" spans="1:31" ht="16.5" customHeight="1">
      <c r="A102" s="46">
        <v>43228</v>
      </c>
      <c r="B102" s="46">
        <v>43200</v>
      </c>
      <c r="C102" s="46" t="s">
        <v>300</v>
      </c>
      <c r="D102" s="46">
        <v>4</v>
      </c>
      <c r="E102" s="46">
        <v>3</v>
      </c>
      <c r="F102" s="46">
        <v>600</v>
      </c>
      <c r="G102" s="46">
        <v>24</v>
      </c>
      <c r="H102" s="46">
        <v>5</v>
      </c>
      <c r="I102" s="46">
        <v>465</v>
      </c>
      <c r="J102" s="46" t="s">
        <v>326</v>
      </c>
      <c r="K102" s="46" t="s">
        <v>334</v>
      </c>
      <c r="L102" s="46" t="s">
        <v>328</v>
      </c>
      <c r="M102" s="46">
        <v>0</v>
      </c>
      <c r="N102" s="46">
        <v>1</v>
      </c>
      <c r="O102" s="46" t="s">
        <v>303</v>
      </c>
      <c r="P102" s="46" t="s">
        <v>304</v>
      </c>
      <c r="Q102" s="46" t="s">
        <v>305</v>
      </c>
      <c r="R102" s="46" t="s">
        <v>306</v>
      </c>
      <c r="S102" s="54" t="s">
        <v>329</v>
      </c>
      <c r="T102" s="54" t="s">
        <v>307</v>
      </c>
      <c r="U102" s="46">
        <v>239</v>
      </c>
      <c r="V102" s="46">
        <v>380</v>
      </c>
      <c r="W102" s="46">
        <v>9</v>
      </c>
      <c r="X102" s="46" t="s">
        <v>330</v>
      </c>
      <c r="Y102" s="46">
        <v>43200</v>
      </c>
      <c r="Z102" s="46">
        <v>1</v>
      </c>
      <c r="AA102" s="46">
        <v>5</v>
      </c>
      <c r="AB102" s="46">
        <v>530</v>
      </c>
      <c r="AC102" s="46">
        <v>43200</v>
      </c>
      <c r="AD102" s="46" t="s">
        <v>267</v>
      </c>
      <c r="AE102" s="46" t="s">
        <v>309</v>
      </c>
    </row>
    <row r="103" spans="1:31" ht="16.5" customHeight="1">
      <c r="A103" s="46">
        <v>43229</v>
      </c>
      <c r="B103" s="46">
        <v>43200</v>
      </c>
      <c r="C103" s="46" t="s">
        <v>300</v>
      </c>
      <c r="D103" s="46">
        <v>4</v>
      </c>
      <c r="E103" s="46">
        <v>4</v>
      </c>
      <c r="F103" s="46">
        <v>700</v>
      </c>
      <c r="G103" s="46">
        <v>24</v>
      </c>
      <c r="H103" s="46">
        <v>5</v>
      </c>
      <c r="I103" s="46">
        <v>488</v>
      </c>
      <c r="J103" s="46" t="s">
        <v>326</v>
      </c>
      <c r="K103" s="46" t="s">
        <v>334</v>
      </c>
      <c r="L103" s="46" t="s">
        <v>328</v>
      </c>
      <c r="M103" s="46">
        <v>0</v>
      </c>
      <c r="N103" s="46">
        <v>1</v>
      </c>
      <c r="O103" s="46" t="s">
        <v>303</v>
      </c>
      <c r="P103" s="46" t="s">
        <v>304</v>
      </c>
      <c r="Q103" s="46" t="s">
        <v>305</v>
      </c>
      <c r="R103" s="46" t="s">
        <v>306</v>
      </c>
      <c r="S103" s="54" t="s">
        <v>329</v>
      </c>
      <c r="T103" s="54" t="s">
        <v>307</v>
      </c>
      <c r="U103" s="46">
        <v>246</v>
      </c>
      <c r="V103" s="46">
        <v>380</v>
      </c>
      <c r="W103" s="46">
        <v>9</v>
      </c>
      <c r="X103" s="46" t="s">
        <v>330</v>
      </c>
      <c r="Y103" s="46">
        <v>43200</v>
      </c>
      <c r="Z103" s="46">
        <v>1</v>
      </c>
      <c r="AA103" s="46">
        <v>5</v>
      </c>
      <c r="AB103" s="46">
        <v>540</v>
      </c>
      <c r="AC103" s="46">
        <v>43200</v>
      </c>
      <c r="AD103" s="46" t="s">
        <v>267</v>
      </c>
      <c r="AE103" s="46" t="s">
        <v>309</v>
      </c>
    </row>
    <row r="104" spans="1:31" ht="16.5" customHeight="1">
      <c r="A104" s="46">
        <v>43230</v>
      </c>
      <c r="B104" s="46">
        <v>43200</v>
      </c>
      <c r="C104" s="46" t="s">
        <v>300</v>
      </c>
      <c r="D104" s="46">
        <v>4</v>
      </c>
      <c r="E104" s="46">
        <v>5</v>
      </c>
      <c r="F104" s="46">
        <v>1400</v>
      </c>
      <c r="G104" s="46">
        <v>48</v>
      </c>
      <c r="H104" s="46">
        <v>6</v>
      </c>
      <c r="I104" s="46">
        <v>511</v>
      </c>
      <c r="J104" s="46" t="s">
        <v>326</v>
      </c>
      <c r="K104" s="46" t="s">
        <v>334</v>
      </c>
      <c r="L104" s="46" t="s">
        <v>328</v>
      </c>
      <c r="M104" s="46">
        <v>0</v>
      </c>
      <c r="N104" s="46">
        <v>1</v>
      </c>
      <c r="O104" s="46" t="s">
        <v>303</v>
      </c>
      <c r="P104" s="46" t="s">
        <v>304</v>
      </c>
      <c r="Q104" s="46" t="s">
        <v>305</v>
      </c>
      <c r="R104" s="46" t="s">
        <v>306</v>
      </c>
      <c r="S104" s="54" t="s">
        <v>329</v>
      </c>
      <c r="T104" s="54" t="s">
        <v>307</v>
      </c>
      <c r="U104" s="46">
        <v>253</v>
      </c>
      <c r="V104" s="46">
        <v>380</v>
      </c>
      <c r="W104" s="46">
        <v>9</v>
      </c>
      <c r="X104" s="46" t="s">
        <v>330</v>
      </c>
      <c r="Y104" s="46">
        <v>43200</v>
      </c>
      <c r="Z104" s="46">
        <v>1</v>
      </c>
      <c r="AA104" s="46">
        <v>5</v>
      </c>
      <c r="AB104" s="46">
        <v>550</v>
      </c>
      <c r="AC104" s="46">
        <v>43200</v>
      </c>
      <c r="AD104" s="46" t="s">
        <v>267</v>
      </c>
      <c r="AE104" s="46" t="s">
        <v>309</v>
      </c>
    </row>
    <row r="105" spans="1:31" ht="16.5" customHeight="1">
      <c r="A105" s="46">
        <v>43231</v>
      </c>
      <c r="B105" s="46">
        <v>43200</v>
      </c>
      <c r="C105" s="46" t="s">
        <v>300</v>
      </c>
      <c r="D105" s="46">
        <v>5</v>
      </c>
      <c r="E105" s="46">
        <v>0</v>
      </c>
      <c r="F105" s="46">
        <v>2200</v>
      </c>
      <c r="G105" s="46">
        <v>48</v>
      </c>
      <c r="H105" s="46">
        <v>6</v>
      </c>
      <c r="I105" s="46">
        <v>536</v>
      </c>
      <c r="J105" s="46" t="s">
        <v>326</v>
      </c>
      <c r="K105" s="46" t="s">
        <v>335</v>
      </c>
      <c r="L105" s="46" t="s">
        <v>328</v>
      </c>
      <c r="M105" s="46">
        <v>0</v>
      </c>
      <c r="N105" s="46">
        <v>1</v>
      </c>
      <c r="O105" s="46" t="s">
        <v>303</v>
      </c>
      <c r="P105" s="46" t="s">
        <v>304</v>
      </c>
      <c r="Q105" s="46" t="s">
        <v>305</v>
      </c>
      <c r="R105" s="46" t="s">
        <v>306</v>
      </c>
      <c r="S105" s="54" t="s">
        <v>329</v>
      </c>
      <c r="T105" s="54" t="s">
        <v>307</v>
      </c>
      <c r="U105" s="46">
        <v>260</v>
      </c>
      <c r="V105" s="46">
        <v>430</v>
      </c>
      <c r="W105" s="46">
        <v>9</v>
      </c>
      <c r="X105" s="46" t="s">
        <v>330</v>
      </c>
      <c r="Y105" s="46">
        <v>43200</v>
      </c>
      <c r="Z105" s="46">
        <v>1</v>
      </c>
      <c r="AA105" s="46">
        <v>5</v>
      </c>
      <c r="AB105" s="46">
        <v>560</v>
      </c>
      <c r="AC105" s="46">
        <v>43200</v>
      </c>
      <c r="AD105" s="46" t="s">
        <v>267</v>
      </c>
      <c r="AE105" s="46" t="s">
        <v>309</v>
      </c>
    </row>
    <row r="106" spans="1:31" ht="16.5" customHeight="1">
      <c r="A106" s="46">
        <v>43232</v>
      </c>
      <c r="B106" s="46">
        <v>43200</v>
      </c>
      <c r="C106" s="46" t="s">
        <v>300</v>
      </c>
      <c r="D106" s="46">
        <v>5</v>
      </c>
      <c r="E106" s="46">
        <v>1</v>
      </c>
      <c r="F106" s="46">
        <v>3300</v>
      </c>
      <c r="G106" s="46">
        <v>48</v>
      </c>
      <c r="H106" s="46">
        <v>6</v>
      </c>
      <c r="I106" s="46">
        <v>561</v>
      </c>
      <c r="J106" s="46" t="s">
        <v>326</v>
      </c>
      <c r="K106" s="46" t="s">
        <v>335</v>
      </c>
      <c r="L106" s="46" t="s">
        <v>328</v>
      </c>
      <c r="M106" s="46">
        <v>0</v>
      </c>
      <c r="N106" s="46">
        <v>1</v>
      </c>
      <c r="O106" s="46" t="s">
        <v>303</v>
      </c>
      <c r="P106" s="46" t="s">
        <v>304</v>
      </c>
      <c r="Q106" s="46" t="s">
        <v>305</v>
      </c>
      <c r="R106" s="46" t="s">
        <v>306</v>
      </c>
      <c r="S106" s="54" t="s">
        <v>329</v>
      </c>
      <c r="T106" s="54" t="s">
        <v>307</v>
      </c>
      <c r="U106" s="46">
        <v>267</v>
      </c>
      <c r="V106" s="46">
        <v>430</v>
      </c>
      <c r="W106" s="46">
        <v>9</v>
      </c>
      <c r="X106" s="46" t="s">
        <v>330</v>
      </c>
      <c r="Y106" s="46">
        <v>43200</v>
      </c>
      <c r="Z106" s="46">
        <v>1</v>
      </c>
      <c r="AA106" s="46">
        <v>5</v>
      </c>
      <c r="AB106" s="46">
        <v>570</v>
      </c>
      <c r="AC106" s="46">
        <v>43200</v>
      </c>
      <c r="AD106" s="46" t="s">
        <v>267</v>
      </c>
      <c r="AE106" s="46" t="s">
        <v>309</v>
      </c>
    </row>
    <row r="107" spans="1:31" ht="16.5" customHeight="1">
      <c r="A107" s="46">
        <v>43233</v>
      </c>
      <c r="B107" s="46">
        <v>43200</v>
      </c>
      <c r="C107" s="46" t="s">
        <v>300</v>
      </c>
      <c r="D107" s="46">
        <v>5</v>
      </c>
      <c r="E107" s="46">
        <v>2</v>
      </c>
      <c r="F107" s="46">
        <v>4400</v>
      </c>
      <c r="G107" s="46">
        <v>48</v>
      </c>
      <c r="H107" s="46">
        <v>6</v>
      </c>
      <c r="I107" s="46">
        <v>586</v>
      </c>
      <c r="J107" s="46" t="s">
        <v>326</v>
      </c>
      <c r="K107" s="46" t="s">
        <v>335</v>
      </c>
      <c r="L107" s="46" t="s">
        <v>328</v>
      </c>
      <c r="M107" s="46">
        <v>0</v>
      </c>
      <c r="N107" s="46">
        <v>1</v>
      </c>
      <c r="O107" s="46" t="s">
        <v>303</v>
      </c>
      <c r="P107" s="46" t="s">
        <v>304</v>
      </c>
      <c r="Q107" s="46" t="s">
        <v>305</v>
      </c>
      <c r="R107" s="46" t="s">
        <v>306</v>
      </c>
      <c r="S107" s="54" t="s">
        <v>329</v>
      </c>
      <c r="T107" s="54" t="s">
        <v>307</v>
      </c>
      <c r="U107" s="46">
        <v>274</v>
      </c>
      <c r="V107" s="46">
        <v>430</v>
      </c>
      <c r="W107" s="46">
        <v>9</v>
      </c>
      <c r="X107" s="46" t="s">
        <v>330</v>
      </c>
      <c r="Y107" s="46">
        <v>43200</v>
      </c>
      <c r="Z107" s="46">
        <v>1</v>
      </c>
      <c r="AA107" s="46">
        <v>5</v>
      </c>
      <c r="AB107" s="46">
        <v>580</v>
      </c>
      <c r="AC107" s="46">
        <v>43200</v>
      </c>
      <c r="AD107" s="46" t="s">
        <v>267</v>
      </c>
      <c r="AE107" s="46" t="s">
        <v>309</v>
      </c>
    </row>
    <row r="108" spans="1:31" ht="16.5" customHeight="1">
      <c r="A108" s="46">
        <v>43234</v>
      </c>
      <c r="B108" s="46">
        <v>43200</v>
      </c>
      <c r="C108" s="46" t="s">
        <v>300</v>
      </c>
      <c r="D108" s="46">
        <v>5</v>
      </c>
      <c r="E108" s="46">
        <v>3</v>
      </c>
      <c r="F108" s="46">
        <v>5600</v>
      </c>
      <c r="G108" s="46">
        <v>48</v>
      </c>
      <c r="H108" s="46">
        <v>6</v>
      </c>
      <c r="I108" s="46">
        <v>611</v>
      </c>
      <c r="J108" s="46" t="s">
        <v>326</v>
      </c>
      <c r="K108" s="46" t="s">
        <v>335</v>
      </c>
      <c r="L108" s="46" t="s">
        <v>328</v>
      </c>
      <c r="M108" s="46">
        <v>0</v>
      </c>
      <c r="N108" s="46">
        <v>1</v>
      </c>
      <c r="O108" s="46" t="s">
        <v>303</v>
      </c>
      <c r="P108" s="46" t="s">
        <v>304</v>
      </c>
      <c r="Q108" s="46" t="s">
        <v>305</v>
      </c>
      <c r="R108" s="46" t="s">
        <v>306</v>
      </c>
      <c r="S108" s="54" t="s">
        <v>329</v>
      </c>
      <c r="T108" s="54" t="s">
        <v>307</v>
      </c>
      <c r="U108" s="46">
        <v>281</v>
      </c>
      <c r="V108" s="46">
        <v>430</v>
      </c>
      <c r="W108" s="46">
        <v>9</v>
      </c>
      <c r="X108" s="46" t="s">
        <v>330</v>
      </c>
      <c r="Y108" s="46">
        <v>43200</v>
      </c>
      <c r="Z108" s="46">
        <v>1</v>
      </c>
      <c r="AA108" s="46">
        <v>5</v>
      </c>
      <c r="AB108" s="46">
        <v>590</v>
      </c>
      <c r="AC108" s="46">
        <v>43200</v>
      </c>
      <c r="AD108" s="46" t="s">
        <v>267</v>
      </c>
      <c r="AE108" s="46" t="s">
        <v>309</v>
      </c>
    </row>
    <row r="109" spans="1:31" ht="16.5" customHeight="1">
      <c r="A109" s="46">
        <v>43235</v>
      </c>
      <c r="B109" s="46">
        <v>43200</v>
      </c>
      <c r="C109" s="46" t="s">
        <v>300</v>
      </c>
      <c r="D109" s="46">
        <v>5</v>
      </c>
      <c r="E109" s="46">
        <v>4</v>
      </c>
      <c r="F109" s="46">
        <v>6700</v>
      </c>
      <c r="G109" s="46">
        <v>48</v>
      </c>
      <c r="H109" s="46">
        <v>6</v>
      </c>
      <c r="I109" s="46">
        <v>636</v>
      </c>
      <c r="J109" s="46" t="s">
        <v>326</v>
      </c>
      <c r="K109" s="46" t="s">
        <v>335</v>
      </c>
      <c r="L109" s="46" t="s">
        <v>328</v>
      </c>
      <c r="M109" s="46">
        <v>0</v>
      </c>
      <c r="N109" s="46">
        <v>1</v>
      </c>
      <c r="O109" s="46" t="s">
        <v>303</v>
      </c>
      <c r="P109" s="46" t="s">
        <v>304</v>
      </c>
      <c r="Q109" s="46" t="s">
        <v>305</v>
      </c>
      <c r="R109" s="46" t="s">
        <v>306</v>
      </c>
      <c r="S109" s="54" t="s">
        <v>329</v>
      </c>
      <c r="T109" s="54" t="s">
        <v>307</v>
      </c>
      <c r="U109" s="46">
        <v>288</v>
      </c>
      <c r="V109" s="46">
        <v>430</v>
      </c>
      <c r="W109" s="46">
        <v>9</v>
      </c>
      <c r="X109" s="46" t="s">
        <v>330</v>
      </c>
      <c r="Y109" s="46">
        <v>43200</v>
      </c>
      <c r="Z109" s="46">
        <v>1</v>
      </c>
      <c r="AA109" s="46">
        <v>5</v>
      </c>
      <c r="AB109" s="46">
        <v>600</v>
      </c>
      <c r="AC109" s="46">
        <v>43200</v>
      </c>
      <c r="AD109" s="46" t="s">
        <v>267</v>
      </c>
      <c r="AE109" s="46" t="s">
        <v>309</v>
      </c>
    </row>
    <row r="110" spans="1:31" ht="16.5" customHeight="1">
      <c r="A110" s="46">
        <v>43236</v>
      </c>
      <c r="B110" s="46">
        <v>43200</v>
      </c>
      <c r="C110" s="46" t="s">
        <v>300</v>
      </c>
      <c r="D110" s="46">
        <v>5</v>
      </c>
      <c r="E110" s="46">
        <v>5</v>
      </c>
      <c r="F110" s="46">
        <v>0</v>
      </c>
      <c r="G110" s="46">
        <v>0</v>
      </c>
      <c r="H110" s="46">
        <v>7</v>
      </c>
      <c r="I110" s="46">
        <v>661</v>
      </c>
      <c r="J110" s="46" t="s">
        <v>326</v>
      </c>
      <c r="K110" s="46" t="s">
        <v>335</v>
      </c>
      <c r="L110" s="46" t="s">
        <v>328</v>
      </c>
      <c r="M110" s="46">
        <v>0</v>
      </c>
      <c r="N110" s="46">
        <v>1</v>
      </c>
      <c r="O110" s="46" t="s">
        <v>303</v>
      </c>
      <c r="P110" s="46" t="s">
        <v>304</v>
      </c>
      <c r="Q110" s="46" t="s">
        <v>305</v>
      </c>
      <c r="R110" s="46" t="s">
        <v>306</v>
      </c>
      <c r="S110" s="54" t="s">
        <v>329</v>
      </c>
      <c r="T110" s="54" t="s">
        <v>307</v>
      </c>
      <c r="U110" s="46">
        <v>295</v>
      </c>
      <c r="V110" s="46">
        <v>430</v>
      </c>
      <c r="W110" s="46">
        <v>9</v>
      </c>
      <c r="X110" s="46" t="s">
        <v>330</v>
      </c>
      <c r="Y110" s="46">
        <v>43200</v>
      </c>
      <c r="Z110" s="46">
        <v>1</v>
      </c>
      <c r="AA110" s="46">
        <v>5</v>
      </c>
      <c r="AB110" s="46">
        <v>620</v>
      </c>
      <c r="AC110" s="46">
        <v>43200</v>
      </c>
      <c r="AD110" s="46" t="s">
        <v>267</v>
      </c>
      <c r="AE110" s="46" t="s">
        <v>309</v>
      </c>
    </row>
    <row r="111" spans="1:31" ht="16.5" customHeight="1">
      <c r="A111" s="46">
        <v>43601</v>
      </c>
      <c r="B111" s="46">
        <v>43600</v>
      </c>
      <c r="C111" s="46" t="s">
        <v>300</v>
      </c>
      <c r="D111" s="46">
        <v>0</v>
      </c>
      <c r="E111" s="46">
        <v>0</v>
      </c>
      <c r="F111" s="46">
        <v>10</v>
      </c>
      <c r="G111" s="46">
        <v>1</v>
      </c>
      <c r="H111" s="46">
        <v>1</v>
      </c>
      <c r="I111" s="46">
        <v>120</v>
      </c>
      <c r="J111" s="46" t="s">
        <v>336</v>
      </c>
      <c r="K111" s="46" t="s">
        <v>337</v>
      </c>
      <c r="L111" s="46" t="s">
        <v>338</v>
      </c>
      <c r="M111" s="46">
        <v>156</v>
      </c>
      <c r="N111" s="46">
        <v>1</v>
      </c>
      <c r="O111" s="46" t="s">
        <v>303</v>
      </c>
      <c r="P111" s="46" t="s">
        <v>304</v>
      </c>
      <c r="Q111" s="46" t="s">
        <v>305</v>
      </c>
      <c r="R111" s="46" t="s">
        <v>306</v>
      </c>
      <c r="S111" s="54" t="s">
        <v>338</v>
      </c>
      <c r="T111" s="54" t="s">
        <v>307</v>
      </c>
      <c r="U111" s="46">
        <v>200</v>
      </c>
      <c r="V111" s="46">
        <v>100</v>
      </c>
      <c r="W111" s="46">
        <v>10</v>
      </c>
      <c r="X111" s="46" t="s">
        <v>339</v>
      </c>
      <c r="Y111" s="46">
        <v>43600</v>
      </c>
      <c r="Z111" s="46">
        <v>1</v>
      </c>
      <c r="AA111" s="46">
        <v>5</v>
      </c>
      <c r="AB111" s="46">
        <v>100</v>
      </c>
      <c r="AC111" s="46">
        <v>43600</v>
      </c>
      <c r="AD111" s="46" t="s">
        <v>267</v>
      </c>
      <c r="AE111" s="46" t="s">
        <v>309</v>
      </c>
    </row>
    <row r="112" spans="1:31" ht="16.5" customHeight="1">
      <c r="A112" s="46">
        <v>43602</v>
      </c>
      <c r="B112" s="46">
        <v>43600</v>
      </c>
      <c r="C112" s="46" t="s">
        <v>300</v>
      </c>
      <c r="D112" s="46">
        <v>0</v>
      </c>
      <c r="E112" s="46">
        <v>1</v>
      </c>
      <c r="F112" s="46">
        <v>10</v>
      </c>
      <c r="G112" s="46">
        <v>1</v>
      </c>
      <c r="H112" s="46">
        <v>1</v>
      </c>
      <c r="I112" s="46">
        <v>130</v>
      </c>
      <c r="J112" s="46" t="s">
        <v>336</v>
      </c>
      <c r="K112" s="46" t="s">
        <v>337</v>
      </c>
      <c r="L112" s="46" t="s">
        <v>338</v>
      </c>
      <c r="M112" s="46">
        <v>156</v>
      </c>
      <c r="N112" s="46">
        <v>1</v>
      </c>
      <c r="O112" s="46" t="s">
        <v>303</v>
      </c>
      <c r="P112" s="46" t="s">
        <v>304</v>
      </c>
      <c r="Q112" s="46" t="s">
        <v>305</v>
      </c>
      <c r="R112" s="46" t="s">
        <v>306</v>
      </c>
      <c r="S112" s="54" t="s">
        <v>338</v>
      </c>
      <c r="T112" s="54" t="s">
        <v>307</v>
      </c>
      <c r="U112" s="46">
        <v>230</v>
      </c>
      <c r="V112" s="46">
        <v>100</v>
      </c>
      <c r="W112" s="46">
        <v>10</v>
      </c>
      <c r="X112" s="46" t="s">
        <v>339</v>
      </c>
      <c r="Y112" s="46">
        <v>43600</v>
      </c>
      <c r="Z112" s="46">
        <v>1</v>
      </c>
      <c r="AA112" s="46">
        <v>5</v>
      </c>
      <c r="AB112" s="46">
        <v>103</v>
      </c>
      <c r="AC112" s="46">
        <v>43600</v>
      </c>
      <c r="AD112" s="46" t="s">
        <v>267</v>
      </c>
      <c r="AE112" s="46" t="s">
        <v>309</v>
      </c>
    </row>
    <row r="113" spans="1:31" ht="16.5" customHeight="1">
      <c r="A113" s="46">
        <v>43603</v>
      </c>
      <c r="B113" s="46">
        <v>43600</v>
      </c>
      <c r="C113" s="46" t="s">
        <v>300</v>
      </c>
      <c r="D113" s="46">
        <v>0</v>
      </c>
      <c r="E113" s="46">
        <v>2</v>
      </c>
      <c r="F113" s="46">
        <v>10</v>
      </c>
      <c r="G113" s="46">
        <v>1</v>
      </c>
      <c r="H113" s="46">
        <v>1</v>
      </c>
      <c r="I113" s="46">
        <v>140</v>
      </c>
      <c r="J113" s="46" t="s">
        <v>336</v>
      </c>
      <c r="K113" s="46" t="s">
        <v>337</v>
      </c>
      <c r="L113" s="46" t="s">
        <v>338</v>
      </c>
      <c r="M113" s="46">
        <v>156</v>
      </c>
      <c r="N113" s="46">
        <v>1</v>
      </c>
      <c r="O113" s="46" t="s">
        <v>303</v>
      </c>
      <c r="P113" s="46" t="s">
        <v>304</v>
      </c>
      <c r="Q113" s="46" t="s">
        <v>305</v>
      </c>
      <c r="R113" s="46" t="s">
        <v>306</v>
      </c>
      <c r="S113" s="54" t="s">
        <v>338</v>
      </c>
      <c r="T113" s="54" t="s">
        <v>307</v>
      </c>
      <c r="U113" s="46">
        <v>240</v>
      </c>
      <c r="V113" s="46">
        <v>100</v>
      </c>
      <c r="W113" s="46">
        <v>10</v>
      </c>
      <c r="X113" s="46" t="s">
        <v>339</v>
      </c>
      <c r="Y113" s="46">
        <v>43600</v>
      </c>
      <c r="Z113" s="46">
        <v>1</v>
      </c>
      <c r="AA113" s="46">
        <v>5</v>
      </c>
      <c r="AB113" s="46">
        <v>106</v>
      </c>
      <c r="AC113" s="46">
        <v>43600</v>
      </c>
      <c r="AD113" s="46" t="s">
        <v>267</v>
      </c>
      <c r="AE113" s="46" t="s">
        <v>309</v>
      </c>
    </row>
    <row r="114" spans="1:31" ht="16.5" customHeight="1">
      <c r="A114" s="46">
        <v>43604</v>
      </c>
      <c r="B114" s="46">
        <v>43600</v>
      </c>
      <c r="C114" s="46" t="s">
        <v>300</v>
      </c>
      <c r="D114" s="46">
        <v>0</v>
      </c>
      <c r="E114" s="46">
        <v>3</v>
      </c>
      <c r="F114" s="46">
        <v>10</v>
      </c>
      <c r="G114" s="46">
        <v>1</v>
      </c>
      <c r="H114" s="46">
        <v>1</v>
      </c>
      <c r="I114" s="46">
        <v>150</v>
      </c>
      <c r="J114" s="46" t="s">
        <v>336</v>
      </c>
      <c r="K114" s="46" t="s">
        <v>337</v>
      </c>
      <c r="L114" s="46" t="s">
        <v>338</v>
      </c>
      <c r="M114" s="46">
        <v>156</v>
      </c>
      <c r="N114" s="46">
        <v>1</v>
      </c>
      <c r="O114" s="46" t="s">
        <v>303</v>
      </c>
      <c r="P114" s="46" t="s">
        <v>304</v>
      </c>
      <c r="Q114" s="46" t="s">
        <v>305</v>
      </c>
      <c r="R114" s="46" t="s">
        <v>306</v>
      </c>
      <c r="S114" s="54" t="s">
        <v>338</v>
      </c>
      <c r="T114" s="54" t="s">
        <v>307</v>
      </c>
      <c r="U114" s="46">
        <v>250</v>
      </c>
      <c r="V114" s="46">
        <v>100</v>
      </c>
      <c r="W114" s="46">
        <v>10</v>
      </c>
      <c r="X114" s="46" t="s">
        <v>339</v>
      </c>
      <c r="Y114" s="46">
        <v>43600</v>
      </c>
      <c r="Z114" s="46">
        <v>1</v>
      </c>
      <c r="AA114" s="46">
        <v>5</v>
      </c>
      <c r="AB114" s="46">
        <v>109</v>
      </c>
      <c r="AC114" s="46">
        <v>43600</v>
      </c>
      <c r="AD114" s="46" t="s">
        <v>267</v>
      </c>
      <c r="AE114" s="46" t="s">
        <v>309</v>
      </c>
    </row>
    <row r="115" spans="1:31" ht="16.5" customHeight="1">
      <c r="A115" s="46">
        <v>43605</v>
      </c>
      <c r="B115" s="46">
        <v>43600</v>
      </c>
      <c r="C115" s="46" t="s">
        <v>300</v>
      </c>
      <c r="D115" s="46">
        <v>0</v>
      </c>
      <c r="E115" s="46">
        <v>4</v>
      </c>
      <c r="F115" s="46">
        <v>10</v>
      </c>
      <c r="G115" s="46">
        <v>1</v>
      </c>
      <c r="H115" s="46">
        <v>1</v>
      </c>
      <c r="I115" s="46">
        <v>160</v>
      </c>
      <c r="J115" s="46" t="s">
        <v>336</v>
      </c>
      <c r="K115" s="46" t="s">
        <v>337</v>
      </c>
      <c r="L115" s="46" t="s">
        <v>338</v>
      </c>
      <c r="M115" s="46">
        <v>156</v>
      </c>
      <c r="N115" s="46">
        <v>1</v>
      </c>
      <c r="O115" s="46" t="s">
        <v>303</v>
      </c>
      <c r="P115" s="46" t="s">
        <v>304</v>
      </c>
      <c r="Q115" s="46" t="s">
        <v>305</v>
      </c>
      <c r="R115" s="46" t="s">
        <v>306</v>
      </c>
      <c r="S115" s="54" t="s">
        <v>338</v>
      </c>
      <c r="T115" s="54" t="s">
        <v>307</v>
      </c>
      <c r="U115" s="46">
        <v>260</v>
      </c>
      <c r="V115" s="46">
        <v>100</v>
      </c>
      <c r="W115" s="46">
        <v>10</v>
      </c>
      <c r="X115" s="46" t="s">
        <v>339</v>
      </c>
      <c r="Y115" s="46">
        <v>43600</v>
      </c>
      <c r="Z115" s="46">
        <v>1</v>
      </c>
      <c r="AA115" s="46">
        <v>5</v>
      </c>
      <c r="AB115" s="46">
        <v>112</v>
      </c>
      <c r="AC115" s="46">
        <v>43600</v>
      </c>
      <c r="AD115" s="46" t="s">
        <v>267</v>
      </c>
      <c r="AE115" s="46" t="s">
        <v>309</v>
      </c>
    </row>
    <row r="116" spans="1:31" ht="16.5" customHeight="1">
      <c r="A116" s="46">
        <v>43606</v>
      </c>
      <c r="B116" s="46">
        <v>43600</v>
      </c>
      <c r="C116" s="46" t="s">
        <v>300</v>
      </c>
      <c r="D116" s="46">
        <v>0</v>
      </c>
      <c r="E116" s="46">
        <v>5</v>
      </c>
      <c r="F116" s="46">
        <v>20</v>
      </c>
      <c r="G116" s="46">
        <v>1</v>
      </c>
      <c r="H116" s="46">
        <v>2</v>
      </c>
      <c r="I116" s="46">
        <v>170</v>
      </c>
      <c r="J116" s="46" t="s">
        <v>336</v>
      </c>
      <c r="K116" s="46" t="s">
        <v>337</v>
      </c>
      <c r="L116" s="46" t="s">
        <v>338</v>
      </c>
      <c r="M116" s="46">
        <v>156</v>
      </c>
      <c r="N116" s="46">
        <v>1</v>
      </c>
      <c r="O116" s="46" t="s">
        <v>303</v>
      </c>
      <c r="P116" s="46" t="s">
        <v>304</v>
      </c>
      <c r="Q116" s="46" t="s">
        <v>305</v>
      </c>
      <c r="R116" s="46" t="s">
        <v>306</v>
      </c>
      <c r="S116" s="54" t="s">
        <v>338</v>
      </c>
      <c r="T116" s="54" t="s">
        <v>307</v>
      </c>
      <c r="U116" s="46">
        <v>270</v>
      </c>
      <c r="V116" s="46">
        <v>100</v>
      </c>
      <c r="W116" s="46">
        <v>10</v>
      </c>
      <c r="X116" s="46" t="s">
        <v>339</v>
      </c>
      <c r="Y116" s="46">
        <v>43600</v>
      </c>
      <c r="Z116" s="46">
        <v>1</v>
      </c>
      <c r="AA116" s="46">
        <v>5</v>
      </c>
      <c r="AB116" s="46">
        <v>115</v>
      </c>
      <c r="AC116" s="46">
        <v>43600</v>
      </c>
      <c r="AD116" s="46" t="s">
        <v>267</v>
      </c>
      <c r="AE116" s="46" t="s">
        <v>309</v>
      </c>
    </row>
    <row r="117" spans="1:31" ht="16.5" customHeight="1">
      <c r="A117" s="46">
        <v>43607</v>
      </c>
      <c r="B117" s="46">
        <v>43600</v>
      </c>
      <c r="C117" s="46" t="s">
        <v>300</v>
      </c>
      <c r="D117" s="46">
        <v>1</v>
      </c>
      <c r="E117" s="46">
        <v>0</v>
      </c>
      <c r="F117" s="46">
        <v>20</v>
      </c>
      <c r="G117" s="46">
        <v>2</v>
      </c>
      <c r="H117" s="46">
        <v>2</v>
      </c>
      <c r="I117" s="46">
        <v>180</v>
      </c>
      <c r="J117" s="46" t="s">
        <v>336</v>
      </c>
      <c r="K117" s="46" t="s">
        <v>340</v>
      </c>
      <c r="L117" s="46" t="s">
        <v>338</v>
      </c>
      <c r="M117" s="46">
        <v>156</v>
      </c>
      <c r="N117" s="46">
        <v>1</v>
      </c>
      <c r="O117" s="46" t="s">
        <v>303</v>
      </c>
      <c r="P117" s="46" t="s">
        <v>304</v>
      </c>
      <c r="Q117" s="46" t="s">
        <v>305</v>
      </c>
      <c r="R117" s="46" t="s">
        <v>306</v>
      </c>
      <c r="S117" s="54" t="s">
        <v>338</v>
      </c>
      <c r="T117" s="54" t="s">
        <v>307</v>
      </c>
      <c r="U117" s="46">
        <v>280</v>
      </c>
      <c r="V117" s="46">
        <v>150</v>
      </c>
      <c r="W117" s="46">
        <v>10</v>
      </c>
      <c r="X117" s="46" t="s">
        <v>339</v>
      </c>
      <c r="Y117" s="46">
        <v>43600</v>
      </c>
      <c r="Z117" s="46">
        <v>1</v>
      </c>
      <c r="AA117" s="46">
        <v>5</v>
      </c>
      <c r="AB117" s="46">
        <v>120</v>
      </c>
      <c r="AC117" s="46">
        <v>43600</v>
      </c>
      <c r="AD117" s="46" t="s">
        <v>267</v>
      </c>
      <c r="AE117" s="46" t="s">
        <v>309</v>
      </c>
    </row>
    <row r="118" spans="1:31" ht="16.5" customHeight="1">
      <c r="A118" s="46">
        <v>43608</v>
      </c>
      <c r="B118" s="46">
        <v>43600</v>
      </c>
      <c r="C118" s="46" t="s">
        <v>300</v>
      </c>
      <c r="D118" s="46">
        <v>1</v>
      </c>
      <c r="E118" s="46">
        <v>1</v>
      </c>
      <c r="F118" s="46">
        <v>20</v>
      </c>
      <c r="G118" s="46">
        <v>2</v>
      </c>
      <c r="H118" s="46">
        <v>2</v>
      </c>
      <c r="I118" s="46">
        <v>190</v>
      </c>
      <c r="J118" s="46" t="s">
        <v>336</v>
      </c>
      <c r="K118" s="46" t="s">
        <v>340</v>
      </c>
      <c r="L118" s="46" t="s">
        <v>338</v>
      </c>
      <c r="M118" s="46">
        <v>156</v>
      </c>
      <c r="N118" s="46">
        <v>1</v>
      </c>
      <c r="O118" s="46" t="s">
        <v>303</v>
      </c>
      <c r="P118" s="46" t="s">
        <v>304</v>
      </c>
      <c r="Q118" s="46" t="s">
        <v>305</v>
      </c>
      <c r="R118" s="46" t="s">
        <v>306</v>
      </c>
      <c r="S118" s="54" t="s">
        <v>338</v>
      </c>
      <c r="T118" s="54" t="s">
        <v>307</v>
      </c>
      <c r="U118" s="46">
        <v>290</v>
      </c>
      <c r="V118" s="46">
        <v>150</v>
      </c>
      <c r="W118" s="46">
        <v>10</v>
      </c>
      <c r="X118" s="46" t="s">
        <v>339</v>
      </c>
      <c r="Y118" s="46">
        <v>43600</v>
      </c>
      <c r="Z118" s="46">
        <v>1</v>
      </c>
      <c r="AA118" s="46">
        <v>5</v>
      </c>
      <c r="AB118" s="46">
        <v>125</v>
      </c>
      <c r="AC118" s="46">
        <v>43600</v>
      </c>
      <c r="AD118" s="46" t="s">
        <v>267</v>
      </c>
      <c r="AE118" s="46" t="s">
        <v>309</v>
      </c>
    </row>
    <row r="119" spans="1:31" ht="16.5" customHeight="1">
      <c r="A119" s="46">
        <v>43609</v>
      </c>
      <c r="B119" s="46">
        <v>43600</v>
      </c>
      <c r="C119" s="46" t="s">
        <v>300</v>
      </c>
      <c r="D119" s="46">
        <v>1</v>
      </c>
      <c r="E119" s="46">
        <v>2</v>
      </c>
      <c r="F119" s="46">
        <v>20</v>
      </c>
      <c r="G119" s="46">
        <v>2</v>
      </c>
      <c r="H119" s="46">
        <v>2</v>
      </c>
      <c r="I119" s="46">
        <v>200</v>
      </c>
      <c r="J119" s="46" t="s">
        <v>336</v>
      </c>
      <c r="K119" s="46" t="s">
        <v>340</v>
      </c>
      <c r="L119" s="46" t="s">
        <v>338</v>
      </c>
      <c r="M119" s="46">
        <v>156</v>
      </c>
      <c r="N119" s="46">
        <v>1</v>
      </c>
      <c r="O119" s="46" t="s">
        <v>303</v>
      </c>
      <c r="P119" s="46" t="s">
        <v>304</v>
      </c>
      <c r="Q119" s="46" t="s">
        <v>305</v>
      </c>
      <c r="R119" s="46" t="s">
        <v>306</v>
      </c>
      <c r="S119" s="54" t="s">
        <v>338</v>
      </c>
      <c r="T119" s="54" t="s">
        <v>307</v>
      </c>
      <c r="U119" s="46">
        <v>300</v>
      </c>
      <c r="V119" s="46">
        <v>150</v>
      </c>
      <c r="W119" s="46">
        <v>10</v>
      </c>
      <c r="X119" s="46" t="s">
        <v>339</v>
      </c>
      <c r="Y119" s="46">
        <v>43600</v>
      </c>
      <c r="Z119" s="46">
        <v>1</v>
      </c>
      <c r="AA119" s="46">
        <v>5</v>
      </c>
      <c r="AB119" s="46">
        <v>130</v>
      </c>
      <c r="AC119" s="46">
        <v>43600</v>
      </c>
      <c r="AD119" s="46" t="s">
        <v>267</v>
      </c>
      <c r="AE119" s="46" t="s">
        <v>309</v>
      </c>
    </row>
    <row r="120" spans="1:31" ht="16.5" customHeight="1">
      <c r="A120" s="46">
        <v>43610</v>
      </c>
      <c r="B120" s="46">
        <v>43600</v>
      </c>
      <c r="C120" s="46" t="s">
        <v>300</v>
      </c>
      <c r="D120" s="46">
        <v>1</v>
      </c>
      <c r="E120" s="46">
        <v>3</v>
      </c>
      <c r="F120" s="46">
        <v>20</v>
      </c>
      <c r="G120" s="46">
        <v>2</v>
      </c>
      <c r="H120" s="46">
        <v>2</v>
      </c>
      <c r="I120" s="46">
        <v>210</v>
      </c>
      <c r="J120" s="46" t="s">
        <v>336</v>
      </c>
      <c r="K120" s="46" t="s">
        <v>340</v>
      </c>
      <c r="L120" s="46" t="s">
        <v>338</v>
      </c>
      <c r="M120" s="46">
        <v>156</v>
      </c>
      <c r="N120" s="46">
        <v>1</v>
      </c>
      <c r="O120" s="46" t="s">
        <v>303</v>
      </c>
      <c r="P120" s="46" t="s">
        <v>304</v>
      </c>
      <c r="Q120" s="46" t="s">
        <v>305</v>
      </c>
      <c r="R120" s="46" t="s">
        <v>306</v>
      </c>
      <c r="S120" s="54" t="s">
        <v>338</v>
      </c>
      <c r="T120" s="54" t="s">
        <v>307</v>
      </c>
      <c r="U120" s="46">
        <v>310</v>
      </c>
      <c r="V120" s="46">
        <v>150</v>
      </c>
      <c r="W120" s="46">
        <v>10</v>
      </c>
      <c r="X120" s="46" t="s">
        <v>339</v>
      </c>
      <c r="Y120" s="46">
        <v>43600</v>
      </c>
      <c r="Z120" s="46">
        <v>1</v>
      </c>
      <c r="AA120" s="46">
        <v>5</v>
      </c>
      <c r="AB120" s="46">
        <v>135</v>
      </c>
      <c r="AC120" s="46">
        <v>43600</v>
      </c>
      <c r="AD120" s="46" t="s">
        <v>267</v>
      </c>
      <c r="AE120" s="46" t="s">
        <v>309</v>
      </c>
    </row>
    <row r="121" spans="1:31" ht="16.5" customHeight="1">
      <c r="A121" s="46">
        <v>43611</v>
      </c>
      <c r="B121" s="46">
        <v>43600</v>
      </c>
      <c r="C121" s="46" t="s">
        <v>300</v>
      </c>
      <c r="D121" s="46">
        <v>1</v>
      </c>
      <c r="E121" s="46">
        <v>4</v>
      </c>
      <c r="F121" s="46">
        <v>20</v>
      </c>
      <c r="G121" s="46">
        <v>2</v>
      </c>
      <c r="H121" s="46">
        <v>2</v>
      </c>
      <c r="I121" s="46">
        <v>220</v>
      </c>
      <c r="J121" s="46" t="s">
        <v>336</v>
      </c>
      <c r="K121" s="46" t="s">
        <v>340</v>
      </c>
      <c r="L121" s="46" t="s">
        <v>338</v>
      </c>
      <c r="M121" s="46">
        <v>156</v>
      </c>
      <c r="N121" s="46">
        <v>1</v>
      </c>
      <c r="O121" s="46" t="s">
        <v>303</v>
      </c>
      <c r="P121" s="46" t="s">
        <v>304</v>
      </c>
      <c r="Q121" s="46" t="s">
        <v>305</v>
      </c>
      <c r="R121" s="46" t="s">
        <v>306</v>
      </c>
      <c r="S121" s="54" t="s">
        <v>338</v>
      </c>
      <c r="T121" s="54" t="s">
        <v>307</v>
      </c>
      <c r="U121" s="46">
        <v>320</v>
      </c>
      <c r="V121" s="46">
        <v>150</v>
      </c>
      <c r="W121" s="46">
        <v>10</v>
      </c>
      <c r="X121" s="46" t="s">
        <v>339</v>
      </c>
      <c r="Y121" s="46">
        <v>43600</v>
      </c>
      <c r="Z121" s="46">
        <v>1</v>
      </c>
      <c r="AA121" s="46">
        <v>5</v>
      </c>
      <c r="AB121" s="46">
        <v>140</v>
      </c>
      <c r="AC121" s="46">
        <v>43600</v>
      </c>
      <c r="AD121" s="46" t="s">
        <v>267</v>
      </c>
      <c r="AE121" s="46" t="s">
        <v>309</v>
      </c>
    </row>
    <row r="122" spans="1:31" ht="16.5" customHeight="1">
      <c r="A122" s="46">
        <v>43612</v>
      </c>
      <c r="B122" s="46">
        <v>43600</v>
      </c>
      <c r="C122" s="46" t="s">
        <v>300</v>
      </c>
      <c r="D122" s="46">
        <v>1</v>
      </c>
      <c r="E122" s="46">
        <v>5</v>
      </c>
      <c r="F122" s="46">
        <v>30</v>
      </c>
      <c r="G122" s="46">
        <v>2</v>
      </c>
      <c r="H122" s="46">
        <v>3</v>
      </c>
      <c r="I122" s="46">
        <v>230</v>
      </c>
      <c r="J122" s="46" t="s">
        <v>336</v>
      </c>
      <c r="K122" s="46" t="s">
        <v>340</v>
      </c>
      <c r="L122" s="46" t="s">
        <v>338</v>
      </c>
      <c r="M122" s="46">
        <v>156</v>
      </c>
      <c r="N122" s="46">
        <v>1</v>
      </c>
      <c r="O122" s="46" t="s">
        <v>303</v>
      </c>
      <c r="P122" s="46" t="s">
        <v>304</v>
      </c>
      <c r="Q122" s="46" t="s">
        <v>305</v>
      </c>
      <c r="R122" s="46" t="s">
        <v>306</v>
      </c>
      <c r="S122" s="54" t="s">
        <v>338</v>
      </c>
      <c r="T122" s="54" t="s">
        <v>307</v>
      </c>
      <c r="U122" s="46">
        <v>330</v>
      </c>
      <c r="V122" s="46">
        <v>150</v>
      </c>
      <c r="W122" s="46">
        <v>10</v>
      </c>
      <c r="X122" s="46" t="s">
        <v>339</v>
      </c>
      <c r="Y122" s="46">
        <v>43600</v>
      </c>
      <c r="Z122" s="46">
        <v>1</v>
      </c>
      <c r="AA122" s="46">
        <v>5</v>
      </c>
      <c r="AB122" s="46">
        <v>145</v>
      </c>
      <c r="AC122" s="46">
        <v>43600</v>
      </c>
      <c r="AD122" s="46" t="s">
        <v>267</v>
      </c>
      <c r="AE122" s="46" t="s">
        <v>309</v>
      </c>
    </row>
    <row r="123" spans="1:31" ht="16.5" customHeight="1">
      <c r="A123" s="46">
        <v>43613</v>
      </c>
      <c r="B123" s="46">
        <v>43600</v>
      </c>
      <c r="C123" s="46" t="s">
        <v>300</v>
      </c>
      <c r="D123" s="46">
        <v>2</v>
      </c>
      <c r="E123" s="46">
        <v>0</v>
      </c>
      <c r="F123" s="46">
        <v>30</v>
      </c>
      <c r="G123" s="46">
        <v>4</v>
      </c>
      <c r="H123" s="46">
        <v>3</v>
      </c>
      <c r="I123" s="46">
        <v>250</v>
      </c>
      <c r="J123" s="46" t="s">
        <v>336</v>
      </c>
      <c r="K123" s="46" t="s">
        <v>341</v>
      </c>
      <c r="L123" s="46" t="s">
        <v>338</v>
      </c>
      <c r="M123" s="46">
        <v>156</v>
      </c>
      <c r="N123" s="46">
        <v>1</v>
      </c>
      <c r="O123" s="46" t="s">
        <v>303</v>
      </c>
      <c r="P123" s="46" t="s">
        <v>304</v>
      </c>
      <c r="Q123" s="46" t="s">
        <v>305</v>
      </c>
      <c r="R123" s="46" t="s">
        <v>306</v>
      </c>
      <c r="S123" s="54" t="s">
        <v>338</v>
      </c>
      <c r="T123" s="54" t="s">
        <v>307</v>
      </c>
      <c r="U123" s="46">
        <v>340</v>
      </c>
      <c r="V123" s="46">
        <v>150</v>
      </c>
      <c r="W123" s="46">
        <v>10</v>
      </c>
      <c r="X123" s="46" t="s">
        <v>339</v>
      </c>
      <c r="Y123" s="46">
        <v>43600</v>
      </c>
      <c r="Z123" s="46">
        <v>1</v>
      </c>
      <c r="AA123" s="46">
        <v>5</v>
      </c>
      <c r="AB123" s="46">
        <v>155</v>
      </c>
      <c r="AC123" s="46">
        <v>43600</v>
      </c>
      <c r="AD123" s="46" t="s">
        <v>267</v>
      </c>
      <c r="AE123" s="46" t="s">
        <v>309</v>
      </c>
    </row>
    <row r="124" spans="1:31" ht="16.5" customHeight="1">
      <c r="A124" s="46">
        <v>43614</v>
      </c>
      <c r="B124" s="46">
        <v>43600</v>
      </c>
      <c r="C124" s="46" t="s">
        <v>300</v>
      </c>
      <c r="D124" s="46">
        <v>2</v>
      </c>
      <c r="E124" s="46">
        <v>1</v>
      </c>
      <c r="F124" s="46">
        <v>30</v>
      </c>
      <c r="G124" s="46">
        <v>4</v>
      </c>
      <c r="H124" s="46">
        <v>3</v>
      </c>
      <c r="I124" s="46">
        <v>270</v>
      </c>
      <c r="J124" s="46" t="s">
        <v>336</v>
      </c>
      <c r="K124" s="46" t="s">
        <v>341</v>
      </c>
      <c r="L124" s="46" t="s">
        <v>338</v>
      </c>
      <c r="M124" s="46">
        <v>156</v>
      </c>
      <c r="N124" s="46">
        <v>1</v>
      </c>
      <c r="O124" s="46" t="s">
        <v>303</v>
      </c>
      <c r="P124" s="46" t="s">
        <v>304</v>
      </c>
      <c r="Q124" s="46" t="s">
        <v>305</v>
      </c>
      <c r="R124" s="46" t="s">
        <v>306</v>
      </c>
      <c r="S124" s="54" t="s">
        <v>338</v>
      </c>
      <c r="T124" s="54" t="s">
        <v>307</v>
      </c>
      <c r="U124" s="46">
        <v>350</v>
      </c>
      <c r="V124" s="46">
        <v>150</v>
      </c>
      <c r="W124" s="46">
        <v>10</v>
      </c>
      <c r="X124" s="46" t="s">
        <v>339</v>
      </c>
      <c r="Y124" s="46">
        <v>43600</v>
      </c>
      <c r="Z124" s="46">
        <v>1</v>
      </c>
      <c r="AA124" s="46">
        <v>5</v>
      </c>
      <c r="AB124" s="46">
        <v>165</v>
      </c>
      <c r="AC124" s="46">
        <v>43600</v>
      </c>
      <c r="AD124" s="46" t="s">
        <v>267</v>
      </c>
      <c r="AE124" s="46" t="s">
        <v>309</v>
      </c>
    </row>
    <row r="125" spans="1:31" ht="16.5" customHeight="1">
      <c r="A125" s="46">
        <v>43615</v>
      </c>
      <c r="B125" s="46">
        <v>43600</v>
      </c>
      <c r="C125" s="46" t="s">
        <v>300</v>
      </c>
      <c r="D125" s="46">
        <v>2</v>
      </c>
      <c r="E125" s="46">
        <v>2</v>
      </c>
      <c r="F125" s="46">
        <v>30</v>
      </c>
      <c r="G125" s="46">
        <v>4</v>
      </c>
      <c r="H125" s="46">
        <v>3</v>
      </c>
      <c r="I125" s="46">
        <v>290</v>
      </c>
      <c r="J125" s="46" t="s">
        <v>336</v>
      </c>
      <c r="K125" s="46" t="s">
        <v>341</v>
      </c>
      <c r="L125" s="46" t="s">
        <v>338</v>
      </c>
      <c r="M125" s="46">
        <v>156</v>
      </c>
      <c r="N125" s="46">
        <v>1</v>
      </c>
      <c r="O125" s="46" t="s">
        <v>303</v>
      </c>
      <c r="P125" s="46" t="s">
        <v>304</v>
      </c>
      <c r="Q125" s="46" t="s">
        <v>305</v>
      </c>
      <c r="R125" s="46" t="s">
        <v>306</v>
      </c>
      <c r="S125" s="54" t="s">
        <v>338</v>
      </c>
      <c r="T125" s="54" t="s">
        <v>307</v>
      </c>
      <c r="U125" s="46">
        <v>360</v>
      </c>
      <c r="V125" s="46">
        <v>150</v>
      </c>
      <c r="W125" s="46">
        <v>10</v>
      </c>
      <c r="X125" s="46" t="s">
        <v>339</v>
      </c>
      <c r="Y125" s="46">
        <v>43600</v>
      </c>
      <c r="Z125" s="46">
        <v>1</v>
      </c>
      <c r="AA125" s="46">
        <v>5</v>
      </c>
      <c r="AB125" s="46">
        <v>175</v>
      </c>
      <c r="AC125" s="46">
        <v>43600</v>
      </c>
      <c r="AD125" s="46" t="s">
        <v>267</v>
      </c>
      <c r="AE125" s="46" t="s">
        <v>309</v>
      </c>
    </row>
    <row r="126" spans="1:31" ht="16.5" customHeight="1">
      <c r="A126" s="46">
        <v>43616</v>
      </c>
      <c r="B126" s="46">
        <v>43600</v>
      </c>
      <c r="C126" s="46" t="s">
        <v>300</v>
      </c>
      <c r="D126" s="46">
        <v>2</v>
      </c>
      <c r="E126" s="46">
        <v>3</v>
      </c>
      <c r="F126" s="46">
        <v>30</v>
      </c>
      <c r="G126" s="46">
        <v>4</v>
      </c>
      <c r="H126" s="46">
        <v>3</v>
      </c>
      <c r="I126" s="46">
        <v>310</v>
      </c>
      <c r="J126" s="46" t="s">
        <v>336</v>
      </c>
      <c r="K126" s="46" t="s">
        <v>341</v>
      </c>
      <c r="L126" s="46" t="s">
        <v>338</v>
      </c>
      <c r="M126" s="46">
        <v>156</v>
      </c>
      <c r="N126" s="46">
        <v>1</v>
      </c>
      <c r="O126" s="46" t="s">
        <v>303</v>
      </c>
      <c r="P126" s="46" t="s">
        <v>304</v>
      </c>
      <c r="Q126" s="46" t="s">
        <v>305</v>
      </c>
      <c r="R126" s="46" t="s">
        <v>306</v>
      </c>
      <c r="S126" s="54" t="s">
        <v>338</v>
      </c>
      <c r="T126" s="54" t="s">
        <v>307</v>
      </c>
      <c r="U126" s="46">
        <v>370</v>
      </c>
      <c r="V126" s="46">
        <v>150</v>
      </c>
      <c r="W126" s="46">
        <v>10</v>
      </c>
      <c r="X126" s="46" t="s">
        <v>339</v>
      </c>
      <c r="Y126" s="46">
        <v>43600</v>
      </c>
      <c r="Z126" s="46">
        <v>1</v>
      </c>
      <c r="AA126" s="46">
        <v>5</v>
      </c>
      <c r="AB126" s="46">
        <v>185</v>
      </c>
      <c r="AC126" s="46">
        <v>43600</v>
      </c>
      <c r="AD126" s="46" t="s">
        <v>267</v>
      </c>
      <c r="AE126" s="46" t="s">
        <v>309</v>
      </c>
    </row>
    <row r="127" spans="1:31" ht="16.5" customHeight="1">
      <c r="A127" s="46">
        <v>43617</v>
      </c>
      <c r="B127" s="46">
        <v>43600</v>
      </c>
      <c r="C127" s="46" t="s">
        <v>300</v>
      </c>
      <c r="D127" s="46">
        <v>2</v>
      </c>
      <c r="E127" s="46">
        <v>4</v>
      </c>
      <c r="F127" s="46">
        <v>30</v>
      </c>
      <c r="G127" s="46">
        <v>4</v>
      </c>
      <c r="H127" s="46">
        <v>3</v>
      </c>
      <c r="I127" s="46">
        <v>330</v>
      </c>
      <c r="J127" s="46" t="s">
        <v>336</v>
      </c>
      <c r="K127" s="46" t="s">
        <v>341</v>
      </c>
      <c r="L127" s="46" t="s">
        <v>338</v>
      </c>
      <c r="M127" s="46">
        <v>156</v>
      </c>
      <c r="N127" s="46">
        <v>1</v>
      </c>
      <c r="O127" s="46" t="s">
        <v>303</v>
      </c>
      <c r="P127" s="46" t="s">
        <v>304</v>
      </c>
      <c r="Q127" s="46" t="s">
        <v>305</v>
      </c>
      <c r="R127" s="46" t="s">
        <v>306</v>
      </c>
      <c r="S127" s="54" t="s">
        <v>338</v>
      </c>
      <c r="T127" s="54" t="s">
        <v>307</v>
      </c>
      <c r="U127" s="46">
        <v>380</v>
      </c>
      <c r="V127" s="46">
        <v>150</v>
      </c>
      <c r="W127" s="46">
        <v>10</v>
      </c>
      <c r="X127" s="46" t="s">
        <v>339</v>
      </c>
      <c r="Y127" s="46">
        <v>43600</v>
      </c>
      <c r="Z127" s="46">
        <v>1</v>
      </c>
      <c r="AA127" s="46">
        <v>5</v>
      </c>
      <c r="AB127" s="46">
        <v>195</v>
      </c>
      <c r="AC127" s="46">
        <v>43600</v>
      </c>
      <c r="AD127" s="46" t="s">
        <v>267</v>
      </c>
      <c r="AE127" s="46" t="s">
        <v>309</v>
      </c>
    </row>
    <row r="128" spans="1:31" ht="16.5" customHeight="1">
      <c r="A128" s="46">
        <v>43618</v>
      </c>
      <c r="B128" s="46">
        <v>43600</v>
      </c>
      <c r="C128" s="46" t="s">
        <v>300</v>
      </c>
      <c r="D128" s="46">
        <v>2</v>
      </c>
      <c r="E128" s="46">
        <v>5</v>
      </c>
      <c r="F128" s="46">
        <v>50</v>
      </c>
      <c r="G128" s="46">
        <v>4</v>
      </c>
      <c r="H128" s="46">
        <v>4</v>
      </c>
      <c r="I128" s="46">
        <v>350</v>
      </c>
      <c r="J128" s="46" t="s">
        <v>336</v>
      </c>
      <c r="K128" s="46" t="s">
        <v>341</v>
      </c>
      <c r="L128" s="46" t="s">
        <v>338</v>
      </c>
      <c r="M128" s="46">
        <v>156</v>
      </c>
      <c r="N128" s="46">
        <v>1</v>
      </c>
      <c r="O128" s="46" t="s">
        <v>303</v>
      </c>
      <c r="P128" s="46" t="s">
        <v>304</v>
      </c>
      <c r="Q128" s="46" t="s">
        <v>305</v>
      </c>
      <c r="R128" s="46" t="s">
        <v>306</v>
      </c>
      <c r="S128" s="54" t="s">
        <v>338</v>
      </c>
      <c r="T128" s="54" t="s">
        <v>307</v>
      </c>
      <c r="U128" s="46">
        <v>390</v>
      </c>
      <c r="V128" s="46">
        <v>150</v>
      </c>
      <c r="W128" s="46">
        <v>10</v>
      </c>
      <c r="X128" s="46" t="s">
        <v>339</v>
      </c>
      <c r="Y128" s="46">
        <v>43600</v>
      </c>
      <c r="Z128" s="46">
        <v>1</v>
      </c>
      <c r="AA128" s="46">
        <v>5</v>
      </c>
      <c r="AB128" s="46">
        <v>205</v>
      </c>
      <c r="AC128" s="46">
        <v>43600</v>
      </c>
      <c r="AD128" s="46" t="s">
        <v>267</v>
      </c>
      <c r="AE128" s="46" t="s">
        <v>309</v>
      </c>
    </row>
    <row r="129" spans="1:31" ht="16.5" customHeight="1">
      <c r="A129" s="46">
        <v>43619</v>
      </c>
      <c r="B129" s="46">
        <v>43600</v>
      </c>
      <c r="C129" s="46" t="s">
        <v>300</v>
      </c>
      <c r="D129" s="46">
        <v>3</v>
      </c>
      <c r="E129" s="46">
        <v>0</v>
      </c>
      <c r="F129" s="46">
        <v>50</v>
      </c>
      <c r="G129" s="46">
        <v>8</v>
      </c>
      <c r="H129" s="46">
        <v>4</v>
      </c>
      <c r="I129" s="46">
        <v>380</v>
      </c>
      <c r="J129" s="46" t="s">
        <v>336</v>
      </c>
      <c r="K129" s="46" t="s">
        <v>342</v>
      </c>
      <c r="L129" s="46" t="s">
        <v>338</v>
      </c>
      <c r="M129" s="46">
        <v>156</v>
      </c>
      <c r="N129" s="46">
        <v>1</v>
      </c>
      <c r="O129" s="46" t="s">
        <v>303</v>
      </c>
      <c r="P129" s="46" t="s">
        <v>304</v>
      </c>
      <c r="Q129" s="46" t="s">
        <v>305</v>
      </c>
      <c r="R129" s="46" t="s">
        <v>306</v>
      </c>
      <c r="S129" s="54" t="s">
        <v>338</v>
      </c>
      <c r="T129" s="54" t="s">
        <v>307</v>
      </c>
      <c r="U129" s="46">
        <v>400</v>
      </c>
      <c r="V129" s="46">
        <v>200</v>
      </c>
      <c r="W129" s="46">
        <v>10</v>
      </c>
      <c r="X129" s="46" t="s">
        <v>339</v>
      </c>
      <c r="Y129" s="46">
        <v>43600</v>
      </c>
      <c r="Z129" s="46">
        <v>1</v>
      </c>
      <c r="AA129" s="46">
        <v>5</v>
      </c>
      <c r="AB129" s="46">
        <v>215</v>
      </c>
      <c r="AC129" s="46">
        <v>43600</v>
      </c>
      <c r="AD129" s="46" t="s">
        <v>267</v>
      </c>
      <c r="AE129" s="46" t="s">
        <v>309</v>
      </c>
    </row>
    <row r="130" spans="1:31" ht="16.5" customHeight="1">
      <c r="A130" s="46">
        <v>43620</v>
      </c>
      <c r="B130" s="46">
        <v>43600</v>
      </c>
      <c r="C130" s="46" t="s">
        <v>300</v>
      </c>
      <c r="D130" s="46">
        <v>3</v>
      </c>
      <c r="E130" s="46">
        <v>1</v>
      </c>
      <c r="F130" s="46">
        <v>50</v>
      </c>
      <c r="G130" s="46">
        <v>8</v>
      </c>
      <c r="H130" s="46">
        <v>4</v>
      </c>
      <c r="I130" s="46">
        <v>410</v>
      </c>
      <c r="J130" s="46" t="s">
        <v>336</v>
      </c>
      <c r="K130" s="46" t="s">
        <v>342</v>
      </c>
      <c r="L130" s="46" t="s">
        <v>338</v>
      </c>
      <c r="M130" s="46">
        <v>156</v>
      </c>
      <c r="N130" s="46">
        <v>1</v>
      </c>
      <c r="O130" s="46" t="s">
        <v>303</v>
      </c>
      <c r="P130" s="46" t="s">
        <v>304</v>
      </c>
      <c r="Q130" s="46" t="s">
        <v>305</v>
      </c>
      <c r="R130" s="46" t="s">
        <v>306</v>
      </c>
      <c r="S130" s="54" t="s">
        <v>338</v>
      </c>
      <c r="T130" s="54" t="s">
        <v>307</v>
      </c>
      <c r="U130" s="46">
        <v>410</v>
      </c>
      <c r="V130" s="46">
        <v>200</v>
      </c>
      <c r="W130" s="46">
        <v>10</v>
      </c>
      <c r="X130" s="46" t="s">
        <v>339</v>
      </c>
      <c r="Y130" s="46">
        <v>43600</v>
      </c>
      <c r="Z130" s="46">
        <v>1</v>
      </c>
      <c r="AA130" s="46">
        <v>5</v>
      </c>
      <c r="AB130" s="46">
        <v>225</v>
      </c>
      <c r="AC130" s="46">
        <v>43600</v>
      </c>
      <c r="AD130" s="46" t="s">
        <v>267</v>
      </c>
      <c r="AE130" s="46" t="s">
        <v>309</v>
      </c>
    </row>
    <row r="131" spans="1:31" ht="16.5" customHeight="1">
      <c r="A131" s="46">
        <v>43621</v>
      </c>
      <c r="B131" s="46">
        <v>43600</v>
      </c>
      <c r="C131" s="46" t="s">
        <v>300</v>
      </c>
      <c r="D131" s="46">
        <v>3</v>
      </c>
      <c r="E131" s="46">
        <v>2</v>
      </c>
      <c r="F131" s="46">
        <v>50</v>
      </c>
      <c r="G131" s="46">
        <v>8</v>
      </c>
      <c r="H131" s="46">
        <v>4</v>
      </c>
      <c r="I131" s="46">
        <v>440</v>
      </c>
      <c r="J131" s="46" t="s">
        <v>336</v>
      </c>
      <c r="K131" s="46" t="s">
        <v>342</v>
      </c>
      <c r="L131" s="46" t="s">
        <v>338</v>
      </c>
      <c r="M131" s="46">
        <v>156</v>
      </c>
      <c r="N131" s="46">
        <v>1</v>
      </c>
      <c r="O131" s="46" t="s">
        <v>303</v>
      </c>
      <c r="P131" s="46" t="s">
        <v>304</v>
      </c>
      <c r="Q131" s="46" t="s">
        <v>305</v>
      </c>
      <c r="R131" s="46" t="s">
        <v>306</v>
      </c>
      <c r="S131" s="54" t="s">
        <v>338</v>
      </c>
      <c r="T131" s="54" t="s">
        <v>307</v>
      </c>
      <c r="U131" s="46">
        <v>420</v>
      </c>
      <c r="V131" s="46">
        <v>200</v>
      </c>
      <c r="W131" s="46">
        <v>10</v>
      </c>
      <c r="X131" s="46" t="s">
        <v>339</v>
      </c>
      <c r="Y131" s="46">
        <v>43600</v>
      </c>
      <c r="Z131" s="46">
        <v>1</v>
      </c>
      <c r="AA131" s="46">
        <v>5</v>
      </c>
      <c r="AB131" s="46">
        <v>235</v>
      </c>
      <c r="AC131" s="46">
        <v>43600</v>
      </c>
      <c r="AD131" s="46" t="s">
        <v>267</v>
      </c>
      <c r="AE131" s="46" t="s">
        <v>309</v>
      </c>
    </row>
    <row r="132" spans="1:31" ht="16.5" customHeight="1">
      <c r="A132" s="46">
        <v>43622</v>
      </c>
      <c r="B132" s="46">
        <v>43600</v>
      </c>
      <c r="C132" s="46" t="s">
        <v>300</v>
      </c>
      <c r="D132" s="46">
        <v>3</v>
      </c>
      <c r="E132" s="46">
        <v>3</v>
      </c>
      <c r="F132" s="46">
        <v>50</v>
      </c>
      <c r="G132" s="46">
        <v>8</v>
      </c>
      <c r="H132" s="46">
        <v>4</v>
      </c>
      <c r="I132" s="46">
        <v>470</v>
      </c>
      <c r="J132" s="46" t="s">
        <v>336</v>
      </c>
      <c r="K132" s="46" t="s">
        <v>342</v>
      </c>
      <c r="L132" s="46" t="s">
        <v>338</v>
      </c>
      <c r="M132" s="46">
        <v>156</v>
      </c>
      <c r="N132" s="46">
        <v>1</v>
      </c>
      <c r="O132" s="46" t="s">
        <v>303</v>
      </c>
      <c r="P132" s="46" t="s">
        <v>304</v>
      </c>
      <c r="Q132" s="46" t="s">
        <v>305</v>
      </c>
      <c r="R132" s="46" t="s">
        <v>306</v>
      </c>
      <c r="S132" s="54" t="s">
        <v>338</v>
      </c>
      <c r="T132" s="54" t="s">
        <v>307</v>
      </c>
      <c r="U132" s="46">
        <v>430</v>
      </c>
      <c r="V132" s="46">
        <v>200</v>
      </c>
      <c r="W132" s="46">
        <v>10</v>
      </c>
      <c r="X132" s="46" t="s">
        <v>339</v>
      </c>
      <c r="Y132" s="46">
        <v>43600</v>
      </c>
      <c r="Z132" s="46">
        <v>1</v>
      </c>
      <c r="AA132" s="46">
        <v>5</v>
      </c>
      <c r="AB132" s="46">
        <v>245</v>
      </c>
      <c r="AC132" s="46">
        <v>43600</v>
      </c>
      <c r="AD132" s="46" t="s">
        <v>267</v>
      </c>
      <c r="AE132" s="46" t="s">
        <v>309</v>
      </c>
    </row>
    <row r="133" spans="1:31" ht="16.5" customHeight="1">
      <c r="A133" s="46">
        <v>43623</v>
      </c>
      <c r="B133" s="46">
        <v>43600</v>
      </c>
      <c r="C133" s="46" t="s">
        <v>300</v>
      </c>
      <c r="D133" s="46">
        <v>3</v>
      </c>
      <c r="E133" s="46">
        <v>4</v>
      </c>
      <c r="F133" s="46">
        <v>50</v>
      </c>
      <c r="G133" s="46">
        <v>8</v>
      </c>
      <c r="H133" s="46">
        <v>4</v>
      </c>
      <c r="I133" s="46">
        <v>500</v>
      </c>
      <c r="J133" s="46" t="s">
        <v>336</v>
      </c>
      <c r="K133" s="46" t="s">
        <v>342</v>
      </c>
      <c r="L133" s="46" t="s">
        <v>338</v>
      </c>
      <c r="M133" s="46">
        <v>156</v>
      </c>
      <c r="N133" s="46">
        <v>1</v>
      </c>
      <c r="O133" s="46" t="s">
        <v>303</v>
      </c>
      <c r="P133" s="46" t="s">
        <v>304</v>
      </c>
      <c r="Q133" s="46" t="s">
        <v>305</v>
      </c>
      <c r="R133" s="46" t="s">
        <v>306</v>
      </c>
      <c r="S133" s="54" t="s">
        <v>338</v>
      </c>
      <c r="T133" s="54" t="s">
        <v>307</v>
      </c>
      <c r="U133" s="46">
        <v>440</v>
      </c>
      <c r="V133" s="46">
        <v>200</v>
      </c>
      <c r="W133" s="46">
        <v>10</v>
      </c>
      <c r="X133" s="46" t="s">
        <v>339</v>
      </c>
      <c r="Y133" s="46">
        <v>43600</v>
      </c>
      <c r="Z133" s="46">
        <v>1</v>
      </c>
      <c r="AA133" s="46">
        <v>5</v>
      </c>
      <c r="AB133" s="46">
        <v>255</v>
      </c>
      <c r="AC133" s="46">
        <v>43600</v>
      </c>
      <c r="AD133" s="46" t="s">
        <v>267</v>
      </c>
      <c r="AE133" s="46" t="s">
        <v>309</v>
      </c>
    </row>
    <row r="134" spans="1:31" ht="16.5" customHeight="1">
      <c r="A134" s="46">
        <v>43624</v>
      </c>
      <c r="B134" s="46">
        <v>43600</v>
      </c>
      <c r="C134" s="46" t="s">
        <v>300</v>
      </c>
      <c r="D134" s="46">
        <v>3</v>
      </c>
      <c r="E134" s="46">
        <v>5</v>
      </c>
      <c r="F134" s="46">
        <v>120</v>
      </c>
      <c r="G134" s="46">
        <v>8</v>
      </c>
      <c r="H134" s="46">
        <v>5</v>
      </c>
      <c r="I134" s="46">
        <v>530</v>
      </c>
      <c r="J134" s="46" t="s">
        <v>336</v>
      </c>
      <c r="K134" s="46" t="s">
        <v>342</v>
      </c>
      <c r="L134" s="46" t="s">
        <v>338</v>
      </c>
      <c r="M134" s="46">
        <v>156</v>
      </c>
      <c r="N134" s="46">
        <v>1</v>
      </c>
      <c r="O134" s="46" t="s">
        <v>303</v>
      </c>
      <c r="P134" s="46" t="s">
        <v>304</v>
      </c>
      <c r="Q134" s="46" t="s">
        <v>305</v>
      </c>
      <c r="R134" s="46" t="s">
        <v>306</v>
      </c>
      <c r="S134" s="54" t="s">
        <v>338</v>
      </c>
      <c r="T134" s="54" t="s">
        <v>307</v>
      </c>
      <c r="U134" s="46">
        <v>450</v>
      </c>
      <c r="V134" s="46">
        <v>200</v>
      </c>
      <c r="W134" s="46">
        <v>10</v>
      </c>
      <c r="X134" s="46" t="s">
        <v>339</v>
      </c>
      <c r="Y134" s="46">
        <v>43600</v>
      </c>
      <c r="Z134" s="46">
        <v>1</v>
      </c>
      <c r="AA134" s="46">
        <v>5</v>
      </c>
      <c r="AB134" s="46">
        <v>265</v>
      </c>
      <c r="AC134" s="46">
        <v>43600</v>
      </c>
      <c r="AD134" s="46" t="s">
        <v>267</v>
      </c>
      <c r="AE134" s="46" t="s">
        <v>309</v>
      </c>
    </row>
    <row r="135" spans="1:31" ht="16.5" customHeight="1">
      <c r="A135" s="46">
        <v>43625</v>
      </c>
      <c r="B135" s="46">
        <v>43600</v>
      </c>
      <c r="C135" s="46" t="s">
        <v>300</v>
      </c>
      <c r="D135" s="46">
        <v>4</v>
      </c>
      <c r="E135" s="46">
        <v>0</v>
      </c>
      <c r="F135" s="46">
        <v>200</v>
      </c>
      <c r="G135" s="46">
        <v>24</v>
      </c>
      <c r="H135" s="46">
        <v>5</v>
      </c>
      <c r="I135" s="46">
        <v>570</v>
      </c>
      <c r="J135" s="46" t="s">
        <v>336</v>
      </c>
      <c r="K135" s="46" t="s">
        <v>343</v>
      </c>
      <c r="L135" s="46" t="s">
        <v>338</v>
      </c>
      <c r="M135" s="46">
        <v>156</v>
      </c>
      <c r="N135" s="46">
        <v>1</v>
      </c>
      <c r="O135" s="46" t="s">
        <v>303</v>
      </c>
      <c r="P135" s="46" t="s">
        <v>304</v>
      </c>
      <c r="Q135" s="46" t="s">
        <v>305</v>
      </c>
      <c r="R135" s="46" t="s">
        <v>306</v>
      </c>
      <c r="S135" s="54" t="s">
        <v>338</v>
      </c>
      <c r="T135" s="54" t="s">
        <v>307</v>
      </c>
      <c r="U135" s="46">
        <v>460</v>
      </c>
      <c r="V135" s="46">
        <v>250</v>
      </c>
      <c r="W135" s="46">
        <v>10</v>
      </c>
      <c r="X135" s="46" t="s">
        <v>339</v>
      </c>
      <c r="Y135" s="46">
        <v>43600</v>
      </c>
      <c r="Z135" s="46">
        <v>1</v>
      </c>
      <c r="AA135" s="46">
        <v>5</v>
      </c>
      <c r="AB135" s="46">
        <v>278</v>
      </c>
      <c r="AC135" s="46">
        <v>43600</v>
      </c>
      <c r="AD135" s="46" t="s">
        <v>267</v>
      </c>
      <c r="AE135" s="46" t="s">
        <v>309</v>
      </c>
    </row>
    <row r="136" spans="1:31" ht="16.5" customHeight="1">
      <c r="A136" s="46">
        <v>43626</v>
      </c>
      <c r="B136" s="46">
        <v>43600</v>
      </c>
      <c r="C136" s="46" t="s">
        <v>300</v>
      </c>
      <c r="D136" s="46">
        <v>4</v>
      </c>
      <c r="E136" s="46">
        <v>1</v>
      </c>
      <c r="F136" s="46">
        <v>280</v>
      </c>
      <c r="G136" s="46">
        <v>24</v>
      </c>
      <c r="H136" s="46">
        <v>5</v>
      </c>
      <c r="I136" s="46">
        <v>610</v>
      </c>
      <c r="J136" s="46" t="s">
        <v>336</v>
      </c>
      <c r="K136" s="46" t="s">
        <v>343</v>
      </c>
      <c r="L136" s="46" t="s">
        <v>338</v>
      </c>
      <c r="M136" s="46">
        <v>156</v>
      </c>
      <c r="N136" s="46">
        <v>1</v>
      </c>
      <c r="O136" s="46" t="s">
        <v>303</v>
      </c>
      <c r="P136" s="46" t="s">
        <v>304</v>
      </c>
      <c r="Q136" s="46" t="s">
        <v>305</v>
      </c>
      <c r="R136" s="46" t="s">
        <v>306</v>
      </c>
      <c r="S136" s="54" t="s">
        <v>338</v>
      </c>
      <c r="T136" s="54" t="s">
        <v>307</v>
      </c>
      <c r="U136" s="46">
        <v>470</v>
      </c>
      <c r="V136" s="46">
        <v>250</v>
      </c>
      <c r="W136" s="46">
        <v>10</v>
      </c>
      <c r="X136" s="46" t="s">
        <v>339</v>
      </c>
      <c r="Y136" s="46">
        <v>43600</v>
      </c>
      <c r="Z136" s="46">
        <v>1</v>
      </c>
      <c r="AA136" s="46">
        <v>5</v>
      </c>
      <c r="AB136" s="46">
        <v>291</v>
      </c>
      <c r="AC136" s="46">
        <v>43600</v>
      </c>
      <c r="AD136" s="46" t="s">
        <v>267</v>
      </c>
      <c r="AE136" s="46" t="s">
        <v>309</v>
      </c>
    </row>
    <row r="137" spans="1:31" ht="16.5" customHeight="1">
      <c r="A137" s="46">
        <v>43627</v>
      </c>
      <c r="B137" s="46">
        <v>43600</v>
      </c>
      <c r="C137" s="46" t="s">
        <v>300</v>
      </c>
      <c r="D137" s="46">
        <v>4</v>
      </c>
      <c r="E137" s="46">
        <v>2</v>
      </c>
      <c r="F137" s="46">
        <v>400</v>
      </c>
      <c r="G137" s="46">
        <v>24</v>
      </c>
      <c r="H137" s="46">
        <v>5</v>
      </c>
      <c r="I137" s="46">
        <v>650</v>
      </c>
      <c r="J137" s="46" t="s">
        <v>336</v>
      </c>
      <c r="K137" s="46" t="s">
        <v>343</v>
      </c>
      <c r="L137" s="46" t="s">
        <v>338</v>
      </c>
      <c r="M137" s="46">
        <v>156</v>
      </c>
      <c r="N137" s="46">
        <v>1</v>
      </c>
      <c r="O137" s="46" t="s">
        <v>303</v>
      </c>
      <c r="P137" s="46" t="s">
        <v>304</v>
      </c>
      <c r="Q137" s="46" t="s">
        <v>305</v>
      </c>
      <c r="R137" s="46" t="s">
        <v>306</v>
      </c>
      <c r="S137" s="54" t="s">
        <v>338</v>
      </c>
      <c r="T137" s="54" t="s">
        <v>307</v>
      </c>
      <c r="U137" s="46">
        <v>480</v>
      </c>
      <c r="V137" s="46">
        <v>250</v>
      </c>
      <c r="W137" s="46">
        <v>10</v>
      </c>
      <c r="X137" s="46" t="s">
        <v>339</v>
      </c>
      <c r="Y137" s="46">
        <v>43600</v>
      </c>
      <c r="Z137" s="46">
        <v>1</v>
      </c>
      <c r="AA137" s="46">
        <v>5</v>
      </c>
      <c r="AB137" s="46">
        <v>304</v>
      </c>
      <c r="AC137" s="46">
        <v>43600</v>
      </c>
      <c r="AD137" s="46" t="s">
        <v>267</v>
      </c>
      <c r="AE137" s="46" t="s">
        <v>309</v>
      </c>
    </row>
    <row r="138" spans="1:31" ht="16.5" customHeight="1">
      <c r="A138" s="46">
        <v>43628</v>
      </c>
      <c r="B138" s="46">
        <v>43600</v>
      </c>
      <c r="C138" s="46" t="s">
        <v>300</v>
      </c>
      <c r="D138" s="46">
        <v>4</v>
      </c>
      <c r="E138" s="46">
        <v>3</v>
      </c>
      <c r="F138" s="46">
        <v>600</v>
      </c>
      <c r="G138" s="46">
        <v>24</v>
      </c>
      <c r="H138" s="46">
        <v>5</v>
      </c>
      <c r="I138" s="46">
        <v>690</v>
      </c>
      <c r="J138" s="46" t="s">
        <v>336</v>
      </c>
      <c r="K138" s="46" t="s">
        <v>343</v>
      </c>
      <c r="L138" s="46" t="s">
        <v>338</v>
      </c>
      <c r="M138" s="46">
        <v>156</v>
      </c>
      <c r="N138" s="46">
        <v>1</v>
      </c>
      <c r="O138" s="46" t="s">
        <v>303</v>
      </c>
      <c r="P138" s="46" t="s">
        <v>304</v>
      </c>
      <c r="Q138" s="46" t="s">
        <v>305</v>
      </c>
      <c r="R138" s="46" t="s">
        <v>306</v>
      </c>
      <c r="S138" s="54" t="s">
        <v>338</v>
      </c>
      <c r="T138" s="54" t="s">
        <v>307</v>
      </c>
      <c r="U138" s="46">
        <v>490</v>
      </c>
      <c r="V138" s="46">
        <v>250</v>
      </c>
      <c r="W138" s="46">
        <v>10</v>
      </c>
      <c r="X138" s="46" t="s">
        <v>339</v>
      </c>
      <c r="Y138" s="46">
        <v>43600</v>
      </c>
      <c r="Z138" s="46">
        <v>1</v>
      </c>
      <c r="AA138" s="46">
        <v>5</v>
      </c>
      <c r="AB138" s="46">
        <v>317</v>
      </c>
      <c r="AC138" s="46">
        <v>43600</v>
      </c>
      <c r="AD138" s="46" t="s">
        <v>267</v>
      </c>
      <c r="AE138" s="46" t="s">
        <v>309</v>
      </c>
    </row>
    <row r="139" spans="1:31" ht="16.5" customHeight="1">
      <c r="A139" s="46">
        <v>43629</v>
      </c>
      <c r="B139" s="46">
        <v>43600</v>
      </c>
      <c r="C139" s="46" t="s">
        <v>300</v>
      </c>
      <c r="D139" s="46">
        <v>4</v>
      </c>
      <c r="E139" s="46">
        <v>4</v>
      </c>
      <c r="F139" s="46">
        <v>900</v>
      </c>
      <c r="G139" s="46">
        <v>24</v>
      </c>
      <c r="H139" s="46">
        <v>5</v>
      </c>
      <c r="I139" s="46">
        <v>730</v>
      </c>
      <c r="J139" s="46" t="s">
        <v>336</v>
      </c>
      <c r="K139" s="46" t="s">
        <v>343</v>
      </c>
      <c r="L139" s="46" t="s">
        <v>338</v>
      </c>
      <c r="M139" s="46">
        <v>156</v>
      </c>
      <c r="N139" s="46">
        <v>1</v>
      </c>
      <c r="O139" s="46" t="s">
        <v>303</v>
      </c>
      <c r="P139" s="46" t="s">
        <v>304</v>
      </c>
      <c r="Q139" s="46" t="s">
        <v>305</v>
      </c>
      <c r="R139" s="46" t="s">
        <v>306</v>
      </c>
      <c r="S139" s="54" t="s">
        <v>338</v>
      </c>
      <c r="T139" s="54" t="s">
        <v>307</v>
      </c>
      <c r="U139" s="46">
        <v>500</v>
      </c>
      <c r="V139" s="46">
        <v>250</v>
      </c>
      <c r="W139" s="46">
        <v>10</v>
      </c>
      <c r="X139" s="46" t="s">
        <v>339</v>
      </c>
      <c r="Y139" s="46">
        <v>43600</v>
      </c>
      <c r="Z139" s="46">
        <v>1</v>
      </c>
      <c r="AA139" s="46">
        <v>5</v>
      </c>
      <c r="AB139" s="46">
        <v>330</v>
      </c>
      <c r="AC139" s="46">
        <v>43600</v>
      </c>
      <c r="AD139" s="46" t="s">
        <v>267</v>
      </c>
      <c r="AE139" s="46" t="s">
        <v>309</v>
      </c>
    </row>
    <row r="140" spans="1:31" ht="16.5" customHeight="1">
      <c r="A140" s="46">
        <v>43630</v>
      </c>
      <c r="B140" s="46">
        <v>43600</v>
      </c>
      <c r="C140" s="46" t="s">
        <v>300</v>
      </c>
      <c r="D140" s="46">
        <v>4</v>
      </c>
      <c r="E140" s="46">
        <v>5</v>
      </c>
      <c r="F140" s="46">
        <v>1300</v>
      </c>
      <c r="G140" s="46">
        <v>48</v>
      </c>
      <c r="H140" s="46">
        <v>6</v>
      </c>
      <c r="I140" s="46">
        <v>770</v>
      </c>
      <c r="J140" s="46" t="s">
        <v>336</v>
      </c>
      <c r="K140" s="46" t="s">
        <v>343</v>
      </c>
      <c r="L140" s="46" t="s">
        <v>338</v>
      </c>
      <c r="M140" s="46">
        <v>156</v>
      </c>
      <c r="N140" s="46">
        <v>1</v>
      </c>
      <c r="O140" s="46" t="s">
        <v>303</v>
      </c>
      <c r="P140" s="46" t="s">
        <v>304</v>
      </c>
      <c r="Q140" s="46" t="s">
        <v>305</v>
      </c>
      <c r="R140" s="46" t="s">
        <v>306</v>
      </c>
      <c r="S140" s="54" t="s">
        <v>338</v>
      </c>
      <c r="T140" s="54" t="s">
        <v>307</v>
      </c>
      <c r="U140" s="46">
        <v>510</v>
      </c>
      <c r="V140" s="46">
        <v>250</v>
      </c>
      <c r="W140" s="46">
        <v>10</v>
      </c>
      <c r="X140" s="46" t="s">
        <v>339</v>
      </c>
      <c r="Y140" s="46">
        <v>43600</v>
      </c>
      <c r="Z140" s="46">
        <v>1</v>
      </c>
      <c r="AA140" s="46">
        <v>5</v>
      </c>
      <c r="AB140" s="46">
        <v>343</v>
      </c>
      <c r="AC140" s="46">
        <v>43600</v>
      </c>
      <c r="AD140" s="46" t="s">
        <v>267</v>
      </c>
      <c r="AE140" s="46" t="s">
        <v>309</v>
      </c>
    </row>
    <row r="141" spans="1:31" ht="16.5" customHeight="1">
      <c r="A141" s="46">
        <v>43631</v>
      </c>
      <c r="B141" s="46">
        <v>43600</v>
      </c>
      <c r="C141" s="46" t="s">
        <v>300</v>
      </c>
      <c r="D141" s="46">
        <v>5</v>
      </c>
      <c r="E141" s="46">
        <v>0</v>
      </c>
      <c r="F141" s="46">
        <v>1800</v>
      </c>
      <c r="G141" s="46">
        <v>48</v>
      </c>
      <c r="H141" s="46">
        <v>6</v>
      </c>
      <c r="I141" s="46">
        <v>830</v>
      </c>
      <c r="J141" s="46" t="s">
        <v>336</v>
      </c>
      <c r="K141" s="46" t="s">
        <v>344</v>
      </c>
      <c r="L141" s="46" t="s">
        <v>338</v>
      </c>
      <c r="M141" s="46">
        <v>156</v>
      </c>
      <c r="N141" s="46">
        <v>1</v>
      </c>
      <c r="O141" s="46" t="s">
        <v>303</v>
      </c>
      <c r="P141" s="46" t="s">
        <v>304</v>
      </c>
      <c r="Q141" s="46" t="s">
        <v>305</v>
      </c>
      <c r="R141" s="46" t="s">
        <v>306</v>
      </c>
      <c r="S141" s="54" t="s">
        <v>338</v>
      </c>
      <c r="T141" s="54" t="s">
        <v>307</v>
      </c>
      <c r="U141" s="46">
        <v>520</v>
      </c>
      <c r="V141" s="46">
        <v>300</v>
      </c>
      <c r="W141" s="46">
        <v>10</v>
      </c>
      <c r="X141" s="46" t="s">
        <v>339</v>
      </c>
      <c r="Y141" s="46">
        <v>43600</v>
      </c>
      <c r="Z141" s="46">
        <v>1</v>
      </c>
      <c r="AA141" s="46">
        <v>5</v>
      </c>
      <c r="AB141" s="46">
        <v>358</v>
      </c>
      <c r="AC141" s="46">
        <v>43600</v>
      </c>
      <c r="AD141" s="46" t="s">
        <v>267</v>
      </c>
      <c r="AE141" s="46" t="s">
        <v>309</v>
      </c>
    </row>
    <row r="142" spans="1:31" ht="16.5" customHeight="1">
      <c r="A142" s="46">
        <v>43632</v>
      </c>
      <c r="B142" s="46">
        <v>43600</v>
      </c>
      <c r="C142" s="46" t="s">
        <v>300</v>
      </c>
      <c r="D142" s="46">
        <v>5</v>
      </c>
      <c r="E142" s="46">
        <v>1</v>
      </c>
      <c r="F142" s="46">
        <v>2400</v>
      </c>
      <c r="G142" s="46">
        <v>48</v>
      </c>
      <c r="H142" s="46">
        <v>6</v>
      </c>
      <c r="I142" s="46">
        <v>890</v>
      </c>
      <c r="J142" s="46" t="s">
        <v>336</v>
      </c>
      <c r="K142" s="46" t="s">
        <v>344</v>
      </c>
      <c r="L142" s="46" t="s">
        <v>338</v>
      </c>
      <c r="M142" s="46">
        <v>156</v>
      </c>
      <c r="N142" s="46">
        <v>1</v>
      </c>
      <c r="O142" s="46" t="s">
        <v>303</v>
      </c>
      <c r="P142" s="46" t="s">
        <v>304</v>
      </c>
      <c r="Q142" s="46" t="s">
        <v>305</v>
      </c>
      <c r="R142" s="46" t="s">
        <v>306</v>
      </c>
      <c r="S142" s="54" t="s">
        <v>338</v>
      </c>
      <c r="T142" s="54" t="s">
        <v>307</v>
      </c>
      <c r="U142" s="46">
        <v>530</v>
      </c>
      <c r="V142" s="46">
        <v>300</v>
      </c>
      <c r="W142" s="46">
        <v>10</v>
      </c>
      <c r="X142" s="46" t="s">
        <v>339</v>
      </c>
      <c r="Y142" s="46">
        <v>43600</v>
      </c>
      <c r="Z142" s="46">
        <v>1</v>
      </c>
      <c r="AA142" s="46">
        <v>5</v>
      </c>
      <c r="AB142" s="46">
        <v>373</v>
      </c>
      <c r="AC142" s="46">
        <v>43600</v>
      </c>
      <c r="AD142" s="46" t="s">
        <v>267</v>
      </c>
      <c r="AE142" s="46" t="s">
        <v>309</v>
      </c>
    </row>
    <row r="143" spans="1:31" ht="16.5" customHeight="1">
      <c r="A143" s="46">
        <v>43633</v>
      </c>
      <c r="B143" s="46">
        <v>43600</v>
      </c>
      <c r="C143" s="46" t="s">
        <v>300</v>
      </c>
      <c r="D143" s="46">
        <v>5</v>
      </c>
      <c r="E143" s="46">
        <v>2</v>
      </c>
      <c r="F143" s="46">
        <v>3100</v>
      </c>
      <c r="G143" s="46">
        <v>48</v>
      </c>
      <c r="H143" s="46">
        <v>6</v>
      </c>
      <c r="I143" s="46">
        <v>950</v>
      </c>
      <c r="J143" s="46" t="s">
        <v>336</v>
      </c>
      <c r="K143" s="46" t="s">
        <v>344</v>
      </c>
      <c r="L143" s="46" t="s">
        <v>338</v>
      </c>
      <c r="M143" s="46">
        <v>156</v>
      </c>
      <c r="N143" s="46">
        <v>1</v>
      </c>
      <c r="O143" s="46" t="s">
        <v>303</v>
      </c>
      <c r="P143" s="46" t="s">
        <v>304</v>
      </c>
      <c r="Q143" s="46" t="s">
        <v>305</v>
      </c>
      <c r="R143" s="46" t="s">
        <v>306</v>
      </c>
      <c r="S143" s="54" t="s">
        <v>338</v>
      </c>
      <c r="T143" s="54" t="s">
        <v>307</v>
      </c>
      <c r="U143" s="46">
        <v>540</v>
      </c>
      <c r="V143" s="46">
        <v>300</v>
      </c>
      <c r="W143" s="46">
        <v>10</v>
      </c>
      <c r="X143" s="46" t="s">
        <v>339</v>
      </c>
      <c r="Y143" s="46">
        <v>43600</v>
      </c>
      <c r="Z143" s="46">
        <v>1</v>
      </c>
      <c r="AA143" s="46">
        <v>5</v>
      </c>
      <c r="AB143" s="46">
        <v>388</v>
      </c>
      <c r="AC143" s="46">
        <v>43600</v>
      </c>
      <c r="AD143" s="46" t="s">
        <v>267</v>
      </c>
      <c r="AE143" s="46" t="s">
        <v>309</v>
      </c>
    </row>
    <row r="144" spans="1:31" ht="16.5" customHeight="1">
      <c r="A144" s="46">
        <v>43634</v>
      </c>
      <c r="B144" s="46">
        <v>43600</v>
      </c>
      <c r="C144" s="46" t="s">
        <v>300</v>
      </c>
      <c r="D144" s="46">
        <v>5</v>
      </c>
      <c r="E144" s="46">
        <v>3</v>
      </c>
      <c r="F144" s="46">
        <v>4000</v>
      </c>
      <c r="G144" s="46">
        <v>48</v>
      </c>
      <c r="H144" s="46">
        <v>6</v>
      </c>
      <c r="I144" s="46">
        <v>1010</v>
      </c>
      <c r="J144" s="46" t="s">
        <v>336</v>
      </c>
      <c r="K144" s="46" t="s">
        <v>344</v>
      </c>
      <c r="L144" s="46" t="s">
        <v>338</v>
      </c>
      <c r="M144" s="46">
        <v>156</v>
      </c>
      <c r="N144" s="46">
        <v>1</v>
      </c>
      <c r="O144" s="46" t="s">
        <v>303</v>
      </c>
      <c r="P144" s="46" t="s">
        <v>304</v>
      </c>
      <c r="Q144" s="46" t="s">
        <v>305</v>
      </c>
      <c r="R144" s="46" t="s">
        <v>306</v>
      </c>
      <c r="S144" s="54" t="s">
        <v>338</v>
      </c>
      <c r="T144" s="54" t="s">
        <v>307</v>
      </c>
      <c r="U144" s="46">
        <v>550</v>
      </c>
      <c r="V144" s="46">
        <v>300</v>
      </c>
      <c r="W144" s="46">
        <v>10</v>
      </c>
      <c r="X144" s="46" t="s">
        <v>339</v>
      </c>
      <c r="Y144" s="46">
        <v>43600</v>
      </c>
      <c r="Z144" s="46">
        <v>1</v>
      </c>
      <c r="AA144" s="46">
        <v>5</v>
      </c>
      <c r="AB144" s="46">
        <v>403</v>
      </c>
      <c r="AC144" s="46">
        <v>43600</v>
      </c>
      <c r="AD144" s="46" t="s">
        <v>267</v>
      </c>
      <c r="AE144" s="46" t="s">
        <v>309</v>
      </c>
    </row>
    <row r="145" spans="1:31" ht="16.5" customHeight="1">
      <c r="A145" s="46">
        <v>43635</v>
      </c>
      <c r="B145" s="46">
        <v>43600</v>
      </c>
      <c r="C145" s="46" t="s">
        <v>300</v>
      </c>
      <c r="D145" s="46">
        <v>5</v>
      </c>
      <c r="E145" s="46">
        <v>4</v>
      </c>
      <c r="F145" s="46">
        <v>5000</v>
      </c>
      <c r="G145" s="46">
        <v>48</v>
      </c>
      <c r="H145" s="46">
        <v>6</v>
      </c>
      <c r="I145" s="46">
        <v>1070</v>
      </c>
      <c r="J145" s="46" t="s">
        <v>336</v>
      </c>
      <c r="K145" s="46" t="s">
        <v>344</v>
      </c>
      <c r="L145" s="46" t="s">
        <v>338</v>
      </c>
      <c r="M145" s="46">
        <v>156</v>
      </c>
      <c r="N145" s="46">
        <v>1</v>
      </c>
      <c r="O145" s="46" t="s">
        <v>303</v>
      </c>
      <c r="P145" s="46" t="s">
        <v>304</v>
      </c>
      <c r="Q145" s="46" t="s">
        <v>305</v>
      </c>
      <c r="R145" s="46" t="s">
        <v>306</v>
      </c>
      <c r="S145" s="54" t="s">
        <v>338</v>
      </c>
      <c r="T145" s="54" t="s">
        <v>307</v>
      </c>
      <c r="U145" s="46">
        <v>560</v>
      </c>
      <c r="V145" s="46">
        <v>300</v>
      </c>
      <c r="W145" s="46">
        <v>10</v>
      </c>
      <c r="X145" s="46" t="s">
        <v>339</v>
      </c>
      <c r="Y145" s="46">
        <v>43600</v>
      </c>
      <c r="Z145" s="46">
        <v>1</v>
      </c>
      <c r="AA145" s="46">
        <v>5</v>
      </c>
      <c r="AB145" s="46">
        <v>418</v>
      </c>
      <c r="AC145" s="46">
        <v>43600</v>
      </c>
      <c r="AD145" s="46" t="s">
        <v>267</v>
      </c>
      <c r="AE145" s="46" t="s">
        <v>309</v>
      </c>
    </row>
    <row r="146" spans="1:31" ht="16.5" customHeight="1">
      <c r="A146" s="46">
        <v>43636</v>
      </c>
      <c r="B146" s="46">
        <v>43600</v>
      </c>
      <c r="C146" s="46" t="s">
        <v>300</v>
      </c>
      <c r="D146" s="46">
        <v>5</v>
      </c>
      <c r="E146" s="46">
        <v>5</v>
      </c>
      <c r="F146" s="46">
        <v>0</v>
      </c>
      <c r="G146" s="46">
        <v>0</v>
      </c>
      <c r="H146" s="46">
        <v>6</v>
      </c>
      <c r="I146" s="46">
        <v>1130</v>
      </c>
      <c r="J146" s="46" t="s">
        <v>336</v>
      </c>
      <c r="K146" s="46" t="s">
        <v>344</v>
      </c>
      <c r="L146" s="46" t="s">
        <v>338</v>
      </c>
      <c r="M146" s="46">
        <v>156</v>
      </c>
      <c r="N146" s="46">
        <v>1</v>
      </c>
      <c r="O146" s="46" t="s">
        <v>303</v>
      </c>
      <c r="P146" s="46" t="s">
        <v>304</v>
      </c>
      <c r="Q146" s="46" t="s">
        <v>305</v>
      </c>
      <c r="R146" s="46" t="s">
        <v>306</v>
      </c>
      <c r="S146" s="54" t="s">
        <v>338</v>
      </c>
      <c r="T146" s="54" t="s">
        <v>307</v>
      </c>
      <c r="U146" s="46">
        <v>570</v>
      </c>
      <c r="V146" s="46">
        <v>300</v>
      </c>
      <c r="W146" s="46">
        <v>10</v>
      </c>
      <c r="X146" s="46" t="s">
        <v>339</v>
      </c>
      <c r="Y146" s="46">
        <v>43600</v>
      </c>
      <c r="Z146" s="46">
        <v>1</v>
      </c>
      <c r="AA146" s="46">
        <v>5</v>
      </c>
      <c r="AB146" s="46">
        <v>433</v>
      </c>
      <c r="AC146" s="46">
        <v>43600</v>
      </c>
      <c r="AD146" s="46" t="s">
        <v>267</v>
      </c>
      <c r="AE146" s="46" t="s">
        <v>309</v>
      </c>
    </row>
  </sheetData>
  <phoneticPr fontId="3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110"/>
  <sheetViews>
    <sheetView topLeftCell="N1" workbookViewId="0">
      <selection activeCell="U1" sqref="U1"/>
    </sheetView>
  </sheetViews>
  <sheetFormatPr defaultRowHeight="16.5"/>
  <cols>
    <col min="1" max="1" width="6.5" bestFit="1" customWidth="1"/>
    <col min="2" max="2" width="14.25" bestFit="1" customWidth="1"/>
    <col min="3" max="3" width="6.625" bestFit="1" customWidth="1"/>
    <col min="4" max="4" width="5.25" bestFit="1" customWidth="1"/>
    <col min="5" max="5" width="10.5" bestFit="1" customWidth="1"/>
    <col min="6" max="6" width="16.375" bestFit="1" customWidth="1"/>
    <col min="7" max="7" width="13.5" bestFit="1" customWidth="1"/>
    <col min="8" max="8" width="14.25" bestFit="1" customWidth="1"/>
    <col min="9" max="9" width="26.75" bestFit="1" customWidth="1"/>
    <col min="10" max="10" width="12.875" bestFit="1" customWidth="1"/>
    <col min="11" max="11" width="10.375" bestFit="1" customWidth="1"/>
    <col min="12" max="12" width="22.875" bestFit="1" customWidth="1"/>
    <col min="13" max="13" width="25.625" bestFit="1" customWidth="1"/>
    <col min="14" max="14" width="19.5" bestFit="1" customWidth="1"/>
    <col min="15" max="15" width="10.375" bestFit="1" customWidth="1"/>
    <col min="16" max="16" width="9.25" bestFit="1" customWidth="1"/>
    <col min="17" max="17" width="10" bestFit="1" customWidth="1"/>
    <col min="18" max="18" width="8.25" bestFit="1" customWidth="1"/>
    <col min="19" max="19" width="18.375" bestFit="1" customWidth="1"/>
    <col min="20" max="20" width="20.5" bestFit="1" customWidth="1"/>
    <col min="21" max="21" width="14" bestFit="1" customWidth="1"/>
  </cols>
  <sheetData>
    <row r="1" spans="1:21" s="42" customFormat="1">
      <c r="A1" s="38" t="s">
        <v>14</v>
      </c>
      <c r="B1" s="38" t="s">
        <v>271</v>
      </c>
      <c r="C1" s="38" t="s">
        <v>272</v>
      </c>
      <c r="D1" s="38" t="s">
        <v>273</v>
      </c>
      <c r="E1" s="38" t="s">
        <v>274</v>
      </c>
      <c r="F1" s="38" t="s">
        <v>275</v>
      </c>
      <c r="G1" s="38" t="s">
        <v>276</v>
      </c>
      <c r="H1" s="38" t="s">
        <v>277</v>
      </c>
      <c r="I1" s="38" t="s">
        <v>123</v>
      </c>
      <c r="J1" s="38" t="s">
        <v>345</v>
      </c>
      <c r="K1" s="38" t="s">
        <v>279</v>
      </c>
      <c r="L1" s="38" t="s">
        <v>346</v>
      </c>
      <c r="M1" s="38" t="s">
        <v>347</v>
      </c>
      <c r="N1" s="38" t="s">
        <v>348</v>
      </c>
      <c r="O1" s="38" t="s">
        <v>349</v>
      </c>
      <c r="P1" s="38" t="s">
        <v>350</v>
      </c>
      <c r="Q1" s="38" t="s">
        <v>351</v>
      </c>
      <c r="R1" s="38" t="s">
        <v>297</v>
      </c>
      <c r="S1" s="38" t="s">
        <v>352</v>
      </c>
      <c r="T1" s="38" t="s">
        <v>299</v>
      </c>
      <c r="U1" s="38" t="s">
        <v>354</v>
      </c>
    </row>
    <row r="2" spans="1:21">
      <c r="A2" s="46">
        <v>1</v>
      </c>
      <c r="B2" s="46">
        <v>1</v>
      </c>
      <c r="C2" s="46" t="s">
        <v>355</v>
      </c>
      <c r="D2" s="46">
        <v>0</v>
      </c>
      <c r="E2" s="46">
        <v>0</v>
      </c>
      <c r="F2" s="46">
        <v>0</v>
      </c>
      <c r="G2" s="46">
        <v>0</v>
      </c>
      <c r="H2" s="46">
        <v>0</v>
      </c>
      <c r="I2" s="46"/>
      <c r="J2" s="46" t="s">
        <v>296</v>
      </c>
      <c r="K2" s="46" t="s">
        <v>356</v>
      </c>
      <c r="L2" s="46" t="s">
        <v>357</v>
      </c>
      <c r="M2" s="46" t="s">
        <v>358</v>
      </c>
      <c r="N2" s="46" t="s">
        <v>359</v>
      </c>
      <c r="O2" s="46">
        <v>0</v>
      </c>
      <c r="P2" s="46">
        <v>0</v>
      </c>
      <c r="Q2" s="46">
        <v>0</v>
      </c>
      <c r="R2" s="46">
        <v>0</v>
      </c>
      <c r="S2" s="46" t="s">
        <v>267</v>
      </c>
      <c r="T2" s="46" t="s">
        <v>309</v>
      </c>
      <c r="U2" s="46" t="s">
        <v>309</v>
      </c>
    </row>
    <row r="3" spans="1:21">
      <c r="A3" s="46">
        <v>49001</v>
      </c>
      <c r="B3" s="46">
        <v>49000</v>
      </c>
      <c r="C3" s="46" t="s">
        <v>355</v>
      </c>
      <c r="D3" s="46">
        <v>0</v>
      </c>
      <c r="E3" s="46">
        <v>0</v>
      </c>
      <c r="F3" s="55">
        <v>20</v>
      </c>
      <c r="G3" s="46">
        <v>2</v>
      </c>
      <c r="H3" s="46">
        <v>1</v>
      </c>
      <c r="I3" s="46" t="s">
        <v>360</v>
      </c>
      <c r="J3" s="46" t="s">
        <v>296</v>
      </c>
      <c r="K3" s="46" t="s">
        <v>361</v>
      </c>
      <c r="L3" s="46" t="s">
        <v>357</v>
      </c>
      <c r="M3" s="46" t="s">
        <v>358</v>
      </c>
      <c r="N3" s="46" t="s">
        <v>359</v>
      </c>
      <c r="O3" s="46">
        <v>0</v>
      </c>
      <c r="P3" s="46">
        <v>5</v>
      </c>
      <c r="Q3" s="46">
        <v>50</v>
      </c>
      <c r="R3" s="46">
        <v>49000</v>
      </c>
      <c r="S3" s="46" t="s">
        <v>267</v>
      </c>
      <c r="T3" s="46" t="s">
        <v>309</v>
      </c>
      <c r="U3" s="46" t="s">
        <v>309</v>
      </c>
    </row>
    <row r="4" spans="1:21">
      <c r="A4" s="46">
        <v>49002</v>
      </c>
      <c r="B4" s="46">
        <v>49000</v>
      </c>
      <c r="C4" s="46" t="s">
        <v>355</v>
      </c>
      <c r="D4" s="46">
        <v>0</v>
      </c>
      <c r="E4" s="46">
        <v>1</v>
      </c>
      <c r="F4" s="55">
        <v>20</v>
      </c>
      <c r="G4" s="46">
        <v>2</v>
      </c>
      <c r="H4" s="46">
        <v>1</v>
      </c>
      <c r="I4" s="46" t="s">
        <v>360</v>
      </c>
      <c r="J4" s="46" t="s">
        <v>296</v>
      </c>
      <c r="K4" s="46" t="s">
        <v>361</v>
      </c>
      <c r="L4" s="46" t="s">
        <v>357</v>
      </c>
      <c r="M4" s="46" t="s">
        <v>358</v>
      </c>
      <c r="N4" s="46" t="s">
        <v>359</v>
      </c>
      <c r="O4" s="46">
        <v>0</v>
      </c>
      <c r="P4" s="46">
        <v>5</v>
      </c>
      <c r="Q4" s="46">
        <v>55</v>
      </c>
      <c r="R4" s="46">
        <v>49000</v>
      </c>
      <c r="S4" s="46" t="s">
        <v>267</v>
      </c>
      <c r="T4" s="46" t="s">
        <v>309</v>
      </c>
      <c r="U4" s="46" t="s">
        <v>309</v>
      </c>
    </row>
    <row r="5" spans="1:21">
      <c r="A5" s="46">
        <v>49003</v>
      </c>
      <c r="B5" s="46">
        <v>49000</v>
      </c>
      <c r="C5" s="46" t="s">
        <v>355</v>
      </c>
      <c r="D5" s="46">
        <v>0</v>
      </c>
      <c r="E5" s="46">
        <v>2</v>
      </c>
      <c r="F5" s="55">
        <v>20</v>
      </c>
      <c r="G5" s="46">
        <v>2</v>
      </c>
      <c r="H5" s="46">
        <v>1</v>
      </c>
      <c r="I5" s="46" t="s">
        <v>360</v>
      </c>
      <c r="J5" s="46" t="s">
        <v>296</v>
      </c>
      <c r="K5" s="46" t="s">
        <v>361</v>
      </c>
      <c r="L5" s="46" t="s">
        <v>357</v>
      </c>
      <c r="M5" s="46" t="s">
        <v>358</v>
      </c>
      <c r="N5" s="46" t="s">
        <v>359</v>
      </c>
      <c r="O5" s="46">
        <v>0</v>
      </c>
      <c r="P5" s="46">
        <v>5</v>
      </c>
      <c r="Q5" s="46">
        <v>60</v>
      </c>
      <c r="R5" s="46">
        <v>49000</v>
      </c>
      <c r="S5" s="46" t="s">
        <v>267</v>
      </c>
      <c r="T5" s="46" t="s">
        <v>309</v>
      </c>
      <c r="U5" s="46" t="s">
        <v>309</v>
      </c>
    </row>
    <row r="6" spans="1:21">
      <c r="A6" s="46">
        <v>49004</v>
      </c>
      <c r="B6" s="46">
        <v>49000</v>
      </c>
      <c r="C6" s="46" t="s">
        <v>355</v>
      </c>
      <c r="D6" s="46">
        <v>0</v>
      </c>
      <c r="E6" s="46">
        <v>3</v>
      </c>
      <c r="F6" s="55">
        <v>20</v>
      </c>
      <c r="G6" s="46">
        <v>2</v>
      </c>
      <c r="H6" s="46">
        <v>1</v>
      </c>
      <c r="I6" s="46" t="s">
        <v>360</v>
      </c>
      <c r="J6" s="46" t="s">
        <v>296</v>
      </c>
      <c r="K6" s="46" t="s">
        <v>361</v>
      </c>
      <c r="L6" s="46" t="s">
        <v>357</v>
      </c>
      <c r="M6" s="46" t="s">
        <v>358</v>
      </c>
      <c r="N6" s="46" t="s">
        <v>359</v>
      </c>
      <c r="O6" s="46">
        <v>0</v>
      </c>
      <c r="P6" s="46">
        <v>5</v>
      </c>
      <c r="Q6" s="46">
        <v>65</v>
      </c>
      <c r="R6" s="46">
        <v>49000</v>
      </c>
      <c r="S6" s="46" t="s">
        <v>267</v>
      </c>
      <c r="T6" s="46" t="s">
        <v>309</v>
      </c>
      <c r="U6" s="46" t="s">
        <v>309</v>
      </c>
    </row>
    <row r="7" spans="1:21">
      <c r="A7" s="46">
        <v>49005</v>
      </c>
      <c r="B7" s="46">
        <v>49000</v>
      </c>
      <c r="C7" s="46" t="s">
        <v>355</v>
      </c>
      <c r="D7" s="46">
        <v>0</v>
      </c>
      <c r="E7" s="46">
        <v>4</v>
      </c>
      <c r="F7" s="55">
        <v>20</v>
      </c>
      <c r="G7" s="46">
        <v>2</v>
      </c>
      <c r="H7" s="46">
        <v>1</v>
      </c>
      <c r="I7" s="46" t="s">
        <v>360</v>
      </c>
      <c r="J7" s="46" t="s">
        <v>296</v>
      </c>
      <c r="K7" s="46" t="s">
        <v>361</v>
      </c>
      <c r="L7" s="46" t="s">
        <v>357</v>
      </c>
      <c r="M7" s="46" t="s">
        <v>358</v>
      </c>
      <c r="N7" s="46" t="s">
        <v>359</v>
      </c>
      <c r="O7" s="46">
        <v>0</v>
      </c>
      <c r="P7" s="46">
        <v>5</v>
      </c>
      <c r="Q7" s="46">
        <v>70</v>
      </c>
      <c r="R7" s="46">
        <v>49000</v>
      </c>
      <c r="S7" s="46" t="s">
        <v>267</v>
      </c>
      <c r="T7" s="46" t="s">
        <v>309</v>
      </c>
      <c r="U7" s="46" t="s">
        <v>309</v>
      </c>
    </row>
    <row r="8" spans="1:21">
      <c r="A8" s="46">
        <v>49006</v>
      </c>
      <c r="B8" s="46">
        <v>49000</v>
      </c>
      <c r="C8" s="46" t="s">
        <v>355</v>
      </c>
      <c r="D8" s="46">
        <v>0</v>
      </c>
      <c r="E8" s="46">
        <v>5</v>
      </c>
      <c r="F8" s="55">
        <v>1</v>
      </c>
      <c r="G8" s="46">
        <v>2</v>
      </c>
      <c r="H8" s="46">
        <v>2</v>
      </c>
      <c r="I8" s="46" t="s">
        <v>360</v>
      </c>
      <c r="J8" s="46" t="s">
        <v>296</v>
      </c>
      <c r="K8" s="46" t="s">
        <v>361</v>
      </c>
      <c r="L8" s="46" t="s">
        <v>357</v>
      </c>
      <c r="M8" s="46" t="s">
        <v>358</v>
      </c>
      <c r="N8" s="46" t="s">
        <v>359</v>
      </c>
      <c r="O8" s="46">
        <v>0</v>
      </c>
      <c r="P8" s="46">
        <v>5</v>
      </c>
      <c r="Q8" s="46">
        <v>75</v>
      </c>
      <c r="R8" s="46">
        <v>49000</v>
      </c>
      <c r="S8" s="46" t="s">
        <v>267</v>
      </c>
      <c r="T8" s="46" t="s">
        <v>309</v>
      </c>
      <c r="U8" s="46" t="s">
        <v>309</v>
      </c>
    </row>
    <row r="9" spans="1:21">
      <c r="A9" s="46">
        <v>49007</v>
      </c>
      <c r="B9" s="46">
        <v>49000</v>
      </c>
      <c r="C9" s="46" t="s">
        <v>355</v>
      </c>
      <c r="D9" s="46">
        <v>1</v>
      </c>
      <c r="E9" s="46">
        <v>0</v>
      </c>
      <c r="F9" s="55">
        <v>50</v>
      </c>
      <c r="G9" s="46">
        <v>4</v>
      </c>
      <c r="H9" s="46">
        <v>2</v>
      </c>
      <c r="I9" s="46" t="s">
        <v>360</v>
      </c>
      <c r="J9" s="46" t="s">
        <v>296</v>
      </c>
      <c r="K9" s="46" t="s">
        <v>361</v>
      </c>
      <c r="L9" s="46" t="s">
        <v>357</v>
      </c>
      <c r="M9" s="46" t="s">
        <v>358</v>
      </c>
      <c r="N9" s="46" t="s">
        <v>359</v>
      </c>
      <c r="O9" s="46">
        <v>0</v>
      </c>
      <c r="P9" s="46">
        <v>6</v>
      </c>
      <c r="Q9" s="46">
        <v>82</v>
      </c>
      <c r="R9" s="46">
        <v>49000</v>
      </c>
      <c r="S9" s="46" t="s">
        <v>267</v>
      </c>
      <c r="T9" s="46" t="s">
        <v>309</v>
      </c>
      <c r="U9" s="46" t="s">
        <v>309</v>
      </c>
    </row>
    <row r="10" spans="1:21">
      <c r="A10" s="46">
        <v>49008</v>
      </c>
      <c r="B10" s="46">
        <v>49000</v>
      </c>
      <c r="C10" s="46" t="s">
        <v>355</v>
      </c>
      <c r="D10" s="46">
        <v>1</v>
      </c>
      <c r="E10" s="46">
        <v>1</v>
      </c>
      <c r="F10" s="55">
        <v>50</v>
      </c>
      <c r="G10" s="46">
        <v>4</v>
      </c>
      <c r="H10" s="46">
        <v>2</v>
      </c>
      <c r="I10" s="46" t="s">
        <v>360</v>
      </c>
      <c r="J10" s="46" t="s">
        <v>296</v>
      </c>
      <c r="K10" s="46" t="s">
        <v>361</v>
      </c>
      <c r="L10" s="46" t="s">
        <v>357</v>
      </c>
      <c r="M10" s="46" t="s">
        <v>358</v>
      </c>
      <c r="N10" s="46" t="s">
        <v>359</v>
      </c>
      <c r="O10" s="46">
        <v>0</v>
      </c>
      <c r="P10" s="46">
        <v>6</v>
      </c>
      <c r="Q10" s="46">
        <v>89</v>
      </c>
      <c r="R10" s="46">
        <v>49000</v>
      </c>
      <c r="S10" s="46" t="s">
        <v>267</v>
      </c>
      <c r="T10" s="46" t="s">
        <v>309</v>
      </c>
      <c r="U10" s="46" t="s">
        <v>309</v>
      </c>
    </row>
    <row r="11" spans="1:21">
      <c r="A11" s="46">
        <v>49009</v>
      </c>
      <c r="B11" s="46">
        <v>49000</v>
      </c>
      <c r="C11" s="46" t="s">
        <v>355</v>
      </c>
      <c r="D11" s="46">
        <v>1</v>
      </c>
      <c r="E11" s="46">
        <v>2</v>
      </c>
      <c r="F11" s="55">
        <v>50</v>
      </c>
      <c r="G11" s="46">
        <v>4</v>
      </c>
      <c r="H11" s="46">
        <v>2</v>
      </c>
      <c r="I11" s="46" t="s">
        <v>360</v>
      </c>
      <c r="J11" s="46" t="s">
        <v>296</v>
      </c>
      <c r="K11" s="46" t="s">
        <v>361</v>
      </c>
      <c r="L11" s="46" t="s">
        <v>357</v>
      </c>
      <c r="M11" s="46" t="s">
        <v>358</v>
      </c>
      <c r="N11" s="46" t="s">
        <v>359</v>
      </c>
      <c r="O11" s="46">
        <v>0</v>
      </c>
      <c r="P11" s="46">
        <v>6</v>
      </c>
      <c r="Q11" s="46">
        <v>96</v>
      </c>
      <c r="R11" s="46">
        <v>49000</v>
      </c>
      <c r="S11" s="46" t="s">
        <v>267</v>
      </c>
      <c r="T11" s="46" t="s">
        <v>309</v>
      </c>
      <c r="U11" s="46" t="s">
        <v>309</v>
      </c>
    </row>
    <row r="12" spans="1:21">
      <c r="A12" s="46">
        <v>49010</v>
      </c>
      <c r="B12" s="46">
        <v>49000</v>
      </c>
      <c r="C12" s="46" t="s">
        <v>355</v>
      </c>
      <c r="D12" s="46">
        <v>1</v>
      </c>
      <c r="E12" s="46">
        <v>3</v>
      </c>
      <c r="F12" s="55">
        <v>50</v>
      </c>
      <c r="G12" s="46">
        <v>4</v>
      </c>
      <c r="H12" s="46">
        <v>2</v>
      </c>
      <c r="I12" s="46" t="s">
        <v>360</v>
      </c>
      <c r="J12" s="46" t="s">
        <v>296</v>
      </c>
      <c r="K12" s="46" t="s">
        <v>361</v>
      </c>
      <c r="L12" s="46" t="s">
        <v>357</v>
      </c>
      <c r="M12" s="46" t="s">
        <v>358</v>
      </c>
      <c r="N12" s="46" t="s">
        <v>359</v>
      </c>
      <c r="O12" s="46">
        <v>0</v>
      </c>
      <c r="P12" s="46">
        <v>6</v>
      </c>
      <c r="Q12" s="46">
        <v>103</v>
      </c>
      <c r="R12" s="46">
        <v>49000</v>
      </c>
      <c r="S12" s="46" t="s">
        <v>267</v>
      </c>
      <c r="T12" s="46" t="s">
        <v>309</v>
      </c>
      <c r="U12" s="46" t="s">
        <v>309</v>
      </c>
    </row>
    <row r="13" spans="1:21">
      <c r="A13" s="46">
        <v>49011</v>
      </c>
      <c r="B13" s="46">
        <v>49000</v>
      </c>
      <c r="C13" s="46" t="s">
        <v>355</v>
      </c>
      <c r="D13" s="46">
        <v>1</v>
      </c>
      <c r="E13" s="46">
        <v>4</v>
      </c>
      <c r="F13" s="55">
        <v>50</v>
      </c>
      <c r="G13" s="46">
        <v>4</v>
      </c>
      <c r="H13" s="46">
        <v>2</v>
      </c>
      <c r="I13" s="46" t="s">
        <v>360</v>
      </c>
      <c r="J13" s="46" t="s">
        <v>296</v>
      </c>
      <c r="K13" s="46" t="s">
        <v>361</v>
      </c>
      <c r="L13" s="46" t="s">
        <v>357</v>
      </c>
      <c r="M13" s="46" t="s">
        <v>358</v>
      </c>
      <c r="N13" s="46" t="s">
        <v>359</v>
      </c>
      <c r="O13" s="46">
        <v>0</v>
      </c>
      <c r="P13" s="46">
        <v>6</v>
      </c>
      <c r="Q13" s="46">
        <v>110</v>
      </c>
      <c r="R13" s="46">
        <v>49000</v>
      </c>
      <c r="S13" s="46" t="s">
        <v>267</v>
      </c>
      <c r="T13" s="46" t="s">
        <v>309</v>
      </c>
      <c r="U13" s="46" t="s">
        <v>309</v>
      </c>
    </row>
    <row r="14" spans="1:21">
      <c r="A14" s="46">
        <v>49012</v>
      </c>
      <c r="B14" s="46">
        <v>49000</v>
      </c>
      <c r="C14" s="46" t="s">
        <v>355</v>
      </c>
      <c r="D14" s="46">
        <v>1</v>
      </c>
      <c r="E14" s="46">
        <v>5</v>
      </c>
      <c r="F14" s="55">
        <v>5</v>
      </c>
      <c r="G14" s="46">
        <v>4</v>
      </c>
      <c r="H14" s="46">
        <v>3</v>
      </c>
      <c r="I14" s="46" t="s">
        <v>360</v>
      </c>
      <c r="J14" s="46" t="s">
        <v>296</v>
      </c>
      <c r="K14" s="46" t="s">
        <v>361</v>
      </c>
      <c r="L14" s="46" t="s">
        <v>357</v>
      </c>
      <c r="M14" s="46" t="s">
        <v>358</v>
      </c>
      <c r="N14" s="46" t="s">
        <v>359</v>
      </c>
      <c r="O14" s="46">
        <v>0</v>
      </c>
      <c r="P14" s="46">
        <v>6</v>
      </c>
      <c r="Q14" s="46">
        <v>117</v>
      </c>
      <c r="R14" s="46">
        <v>49000</v>
      </c>
      <c r="S14" s="46" t="s">
        <v>267</v>
      </c>
      <c r="T14" s="46" t="s">
        <v>309</v>
      </c>
      <c r="U14" s="46" t="s">
        <v>309</v>
      </c>
    </row>
    <row r="15" spans="1:21">
      <c r="A15" s="46">
        <v>49013</v>
      </c>
      <c r="B15" s="46">
        <v>49000</v>
      </c>
      <c r="C15" s="46" t="s">
        <v>355</v>
      </c>
      <c r="D15" s="46">
        <v>2</v>
      </c>
      <c r="E15" s="46">
        <v>0</v>
      </c>
      <c r="F15" s="55">
        <v>100</v>
      </c>
      <c r="G15" s="46">
        <v>8</v>
      </c>
      <c r="H15" s="46">
        <v>3</v>
      </c>
      <c r="I15" s="46" t="s">
        <v>360</v>
      </c>
      <c r="J15" s="46" t="s">
        <v>296</v>
      </c>
      <c r="K15" s="46" t="s">
        <v>361</v>
      </c>
      <c r="L15" s="46" t="s">
        <v>357</v>
      </c>
      <c r="M15" s="46" t="s">
        <v>358</v>
      </c>
      <c r="N15" s="46" t="s">
        <v>359</v>
      </c>
      <c r="O15" s="46">
        <v>0</v>
      </c>
      <c r="P15" s="46">
        <v>7</v>
      </c>
      <c r="Q15" s="46">
        <v>127</v>
      </c>
      <c r="R15" s="46">
        <v>49000</v>
      </c>
      <c r="S15" s="46" t="s">
        <v>267</v>
      </c>
      <c r="T15" s="46" t="s">
        <v>309</v>
      </c>
      <c r="U15" s="46" t="s">
        <v>309</v>
      </c>
    </row>
    <row r="16" spans="1:21">
      <c r="A16" s="46">
        <v>49014</v>
      </c>
      <c r="B16" s="46">
        <v>49000</v>
      </c>
      <c r="C16" s="46" t="s">
        <v>355</v>
      </c>
      <c r="D16" s="46">
        <v>2</v>
      </c>
      <c r="E16" s="46">
        <v>1</v>
      </c>
      <c r="F16" s="55">
        <v>100</v>
      </c>
      <c r="G16" s="46">
        <v>8</v>
      </c>
      <c r="H16" s="46">
        <v>3</v>
      </c>
      <c r="I16" s="46" t="s">
        <v>360</v>
      </c>
      <c r="J16" s="46" t="s">
        <v>296</v>
      </c>
      <c r="K16" s="46" t="s">
        <v>361</v>
      </c>
      <c r="L16" s="46" t="s">
        <v>357</v>
      </c>
      <c r="M16" s="46" t="s">
        <v>358</v>
      </c>
      <c r="N16" s="46" t="s">
        <v>359</v>
      </c>
      <c r="O16" s="46">
        <v>0</v>
      </c>
      <c r="P16" s="46">
        <v>7</v>
      </c>
      <c r="Q16" s="46">
        <v>137</v>
      </c>
      <c r="R16" s="46">
        <v>49000</v>
      </c>
      <c r="S16" s="46" t="s">
        <v>267</v>
      </c>
      <c r="T16" s="46" t="s">
        <v>309</v>
      </c>
      <c r="U16" s="46" t="s">
        <v>309</v>
      </c>
    </row>
    <row r="17" spans="1:21">
      <c r="A17" s="46">
        <v>49015</v>
      </c>
      <c r="B17" s="46">
        <v>49000</v>
      </c>
      <c r="C17" s="46" t="s">
        <v>355</v>
      </c>
      <c r="D17" s="46">
        <v>2</v>
      </c>
      <c r="E17" s="46">
        <v>2</v>
      </c>
      <c r="F17" s="55">
        <v>100</v>
      </c>
      <c r="G17" s="46">
        <v>8</v>
      </c>
      <c r="H17" s="46">
        <v>3</v>
      </c>
      <c r="I17" s="46" t="s">
        <v>360</v>
      </c>
      <c r="J17" s="46" t="s">
        <v>296</v>
      </c>
      <c r="K17" s="46" t="s">
        <v>361</v>
      </c>
      <c r="L17" s="46" t="s">
        <v>357</v>
      </c>
      <c r="M17" s="46" t="s">
        <v>358</v>
      </c>
      <c r="N17" s="46" t="s">
        <v>359</v>
      </c>
      <c r="O17" s="46">
        <v>0</v>
      </c>
      <c r="P17" s="46">
        <v>7</v>
      </c>
      <c r="Q17" s="46">
        <v>147</v>
      </c>
      <c r="R17" s="46">
        <v>49000</v>
      </c>
      <c r="S17" s="46" t="s">
        <v>267</v>
      </c>
      <c r="T17" s="46" t="s">
        <v>309</v>
      </c>
      <c r="U17" s="46" t="s">
        <v>309</v>
      </c>
    </row>
    <row r="18" spans="1:21">
      <c r="A18" s="46">
        <v>49016</v>
      </c>
      <c r="B18" s="46">
        <v>49000</v>
      </c>
      <c r="C18" s="46" t="s">
        <v>355</v>
      </c>
      <c r="D18" s="46">
        <v>2</v>
      </c>
      <c r="E18" s="46">
        <v>3</v>
      </c>
      <c r="F18" s="55">
        <v>100</v>
      </c>
      <c r="G18" s="46">
        <v>8</v>
      </c>
      <c r="H18" s="46">
        <v>3</v>
      </c>
      <c r="I18" s="46" t="s">
        <v>360</v>
      </c>
      <c r="J18" s="46" t="s">
        <v>296</v>
      </c>
      <c r="K18" s="46" t="s">
        <v>361</v>
      </c>
      <c r="L18" s="46" t="s">
        <v>357</v>
      </c>
      <c r="M18" s="46" t="s">
        <v>358</v>
      </c>
      <c r="N18" s="46" t="s">
        <v>359</v>
      </c>
      <c r="O18" s="46">
        <v>0</v>
      </c>
      <c r="P18" s="46">
        <v>7</v>
      </c>
      <c r="Q18" s="46">
        <v>157</v>
      </c>
      <c r="R18" s="46">
        <v>49000</v>
      </c>
      <c r="S18" s="46" t="s">
        <v>267</v>
      </c>
      <c r="T18" s="46" t="s">
        <v>309</v>
      </c>
      <c r="U18" s="46" t="s">
        <v>309</v>
      </c>
    </row>
    <row r="19" spans="1:21">
      <c r="A19" s="46">
        <v>49017</v>
      </c>
      <c r="B19" s="46">
        <v>49000</v>
      </c>
      <c r="C19" s="46" t="s">
        <v>355</v>
      </c>
      <c r="D19" s="46">
        <v>2</v>
      </c>
      <c r="E19" s="46">
        <v>4</v>
      </c>
      <c r="F19" s="55">
        <v>100</v>
      </c>
      <c r="G19" s="46">
        <v>8</v>
      </c>
      <c r="H19" s="46">
        <v>3</v>
      </c>
      <c r="I19" s="46" t="s">
        <v>360</v>
      </c>
      <c r="J19" s="46" t="s">
        <v>296</v>
      </c>
      <c r="K19" s="46" t="s">
        <v>361</v>
      </c>
      <c r="L19" s="46" t="s">
        <v>357</v>
      </c>
      <c r="M19" s="46" t="s">
        <v>358</v>
      </c>
      <c r="N19" s="46" t="s">
        <v>359</v>
      </c>
      <c r="O19" s="46">
        <v>0</v>
      </c>
      <c r="P19" s="46">
        <v>7</v>
      </c>
      <c r="Q19" s="46">
        <v>167</v>
      </c>
      <c r="R19" s="46">
        <v>49000</v>
      </c>
      <c r="S19" s="46" t="s">
        <v>267</v>
      </c>
      <c r="T19" s="46" t="s">
        <v>309</v>
      </c>
      <c r="U19" s="46" t="s">
        <v>309</v>
      </c>
    </row>
    <row r="20" spans="1:21">
      <c r="A20" s="46">
        <v>49018</v>
      </c>
      <c r="B20" s="46">
        <v>49000</v>
      </c>
      <c r="C20" s="46" t="s">
        <v>355</v>
      </c>
      <c r="D20" s="46">
        <v>2</v>
      </c>
      <c r="E20" s="46">
        <v>5</v>
      </c>
      <c r="F20" s="55">
        <v>10</v>
      </c>
      <c r="G20" s="46">
        <v>8</v>
      </c>
      <c r="H20" s="46">
        <v>4</v>
      </c>
      <c r="I20" s="46" t="s">
        <v>360</v>
      </c>
      <c r="J20" s="46" t="s">
        <v>296</v>
      </c>
      <c r="K20" s="46" t="s">
        <v>361</v>
      </c>
      <c r="L20" s="46" t="s">
        <v>357</v>
      </c>
      <c r="M20" s="46" t="s">
        <v>358</v>
      </c>
      <c r="N20" s="46" t="s">
        <v>359</v>
      </c>
      <c r="O20" s="46">
        <v>0</v>
      </c>
      <c r="P20" s="46">
        <v>7</v>
      </c>
      <c r="Q20" s="46">
        <v>177</v>
      </c>
      <c r="R20" s="46">
        <v>49000</v>
      </c>
      <c r="S20" s="46" t="s">
        <v>267</v>
      </c>
      <c r="T20" s="46" t="s">
        <v>309</v>
      </c>
      <c r="U20" s="46" t="s">
        <v>309</v>
      </c>
    </row>
    <row r="21" spans="1:21">
      <c r="A21" s="46">
        <v>49019</v>
      </c>
      <c r="B21" s="46">
        <v>49000</v>
      </c>
      <c r="C21" s="46" t="s">
        <v>355</v>
      </c>
      <c r="D21" s="46">
        <v>3</v>
      </c>
      <c r="E21" s="46">
        <v>0</v>
      </c>
      <c r="F21" s="55">
        <v>200</v>
      </c>
      <c r="G21" s="46">
        <v>16</v>
      </c>
      <c r="H21" s="46">
        <v>4</v>
      </c>
      <c r="I21" s="46" t="s">
        <v>360</v>
      </c>
      <c r="J21" s="46" t="s">
        <v>296</v>
      </c>
      <c r="K21" s="46" t="s">
        <v>361</v>
      </c>
      <c r="L21" s="46" t="s">
        <v>357</v>
      </c>
      <c r="M21" s="46" t="s">
        <v>358</v>
      </c>
      <c r="N21" s="46" t="s">
        <v>359</v>
      </c>
      <c r="O21" s="46">
        <v>0</v>
      </c>
      <c r="P21" s="46">
        <v>9</v>
      </c>
      <c r="Q21" s="46">
        <v>191</v>
      </c>
      <c r="R21" s="46">
        <v>49000</v>
      </c>
      <c r="S21" s="46" t="s">
        <v>267</v>
      </c>
      <c r="T21" s="46" t="s">
        <v>309</v>
      </c>
      <c r="U21" s="46" t="s">
        <v>309</v>
      </c>
    </row>
    <row r="22" spans="1:21">
      <c r="A22" s="46">
        <v>49020</v>
      </c>
      <c r="B22" s="46">
        <v>49000</v>
      </c>
      <c r="C22" s="46" t="s">
        <v>355</v>
      </c>
      <c r="D22" s="46">
        <v>3</v>
      </c>
      <c r="E22" s="46">
        <v>1</v>
      </c>
      <c r="F22" s="55">
        <v>200</v>
      </c>
      <c r="G22" s="46">
        <v>16</v>
      </c>
      <c r="H22" s="46">
        <v>4</v>
      </c>
      <c r="I22" s="46" t="s">
        <v>360</v>
      </c>
      <c r="J22" s="46" t="s">
        <v>296</v>
      </c>
      <c r="K22" s="46" t="s">
        <v>361</v>
      </c>
      <c r="L22" s="46" t="s">
        <v>357</v>
      </c>
      <c r="M22" s="46" t="s">
        <v>358</v>
      </c>
      <c r="N22" s="46" t="s">
        <v>359</v>
      </c>
      <c r="O22" s="46">
        <v>0</v>
      </c>
      <c r="P22" s="46">
        <v>9</v>
      </c>
      <c r="Q22" s="46">
        <v>205</v>
      </c>
      <c r="R22" s="46">
        <v>49000</v>
      </c>
      <c r="S22" s="46" t="s">
        <v>267</v>
      </c>
      <c r="T22" s="46" t="s">
        <v>309</v>
      </c>
      <c r="U22" s="46" t="s">
        <v>309</v>
      </c>
    </row>
    <row r="23" spans="1:21">
      <c r="A23" s="46">
        <v>49021</v>
      </c>
      <c r="B23" s="46">
        <v>49000</v>
      </c>
      <c r="C23" s="46" t="s">
        <v>355</v>
      </c>
      <c r="D23" s="46">
        <v>3</v>
      </c>
      <c r="E23" s="46">
        <v>2</v>
      </c>
      <c r="F23" s="55">
        <v>200</v>
      </c>
      <c r="G23" s="46">
        <v>16</v>
      </c>
      <c r="H23" s="46">
        <v>4</v>
      </c>
      <c r="I23" s="46" t="s">
        <v>360</v>
      </c>
      <c r="J23" s="46" t="s">
        <v>296</v>
      </c>
      <c r="K23" s="46" t="s">
        <v>361</v>
      </c>
      <c r="L23" s="46" t="s">
        <v>357</v>
      </c>
      <c r="M23" s="46" t="s">
        <v>358</v>
      </c>
      <c r="N23" s="46" t="s">
        <v>359</v>
      </c>
      <c r="O23" s="46">
        <v>0</v>
      </c>
      <c r="P23" s="46">
        <v>9</v>
      </c>
      <c r="Q23" s="46">
        <v>219</v>
      </c>
      <c r="R23" s="46">
        <v>49000</v>
      </c>
      <c r="S23" s="46" t="s">
        <v>267</v>
      </c>
      <c r="T23" s="46" t="s">
        <v>309</v>
      </c>
      <c r="U23" s="46" t="s">
        <v>309</v>
      </c>
    </row>
    <row r="24" spans="1:21">
      <c r="A24" s="46">
        <v>49022</v>
      </c>
      <c r="B24" s="46">
        <v>49000</v>
      </c>
      <c r="C24" s="46" t="s">
        <v>355</v>
      </c>
      <c r="D24" s="46">
        <v>3</v>
      </c>
      <c r="E24" s="46">
        <v>3</v>
      </c>
      <c r="F24" s="55">
        <v>200</v>
      </c>
      <c r="G24" s="46">
        <v>16</v>
      </c>
      <c r="H24" s="46">
        <v>4</v>
      </c>
      <c r="I24" s="46" t="s">
        <v>360</v>
      </c>
      <c r="J24" s="46" t="s">
        <v>296</v>
      </c>
      <c r="K24" s="46" t="s">
        <v>361</v>
      </c>
      <c r="L24" s="46" t="s">
        <v>357</v>
      </c>
      <c r="M24" s="46" t="s">
        <v>358</v>
      </c>
      <c r="N24" s="46" t="s">
        <v>359</v>
      </c>
      <c r="O24" s="46">
        <v>0</v>
      </c>
      <c r="P24" s="46">
        <v>9</v>
      </c>
      <c r="Q24" s="46">
        <v>233</v>
      </c>
      <c r="R24" s="46">
        <v>49000</v>
      </c>
      <c r="S24" s="46" t="s">
        <v>267</v>
      </c>
      <c r="T24" s="46" t="s">
        <v>309</v>
      </c>
      <c r="U24" s="46" t="s">
        <v>309</v>
      </c>
    </row>
    <row r="25" spans="1:21">
      <c r="A25" s="46">
        <v>49023</v>
      </c>
      <c r="B25" s="46">
        <v>49000</v>
      </c>
      <c r="C25" s="46" t="s">
        <v>355</v>
      </c>
      <c r="D25" s="46">
        <v>3</v>
      </c>
      <c r="E25" s="46">
        <v>4</v>
      </c>
      <c r="F25" s="55">
        <v>200</v>
      </c>
      <c r="G25" s="46">
        <v>16</v>
      </c>
      <c r="H25" s="46">
        <v>4</v>
      </c>
      <c r="I25" s="46" t="s">
        <v>360</v>
      </c>
      <c r="J25" s="46" t="s">
        <v>296</v>
      </c>
      <c r="K25" s="46" t="s">
        <v>361</v>
      </c>
      <c r="L25" s="46" t="s">
        <v>357</v>
      </c>
      <c r="M25" s="46" t="s">
        <v>358</v>
      </c>
      <c r="N25" s="46" t="s">
        <v>359</v>
      </c>
      <c r="O25" s="46">
        <v>0</v>
      </c>
      <c r="P25" s="46">
        <v>9</v>
      </c>
      <c r="Q25" s="46">
        <v>247</v>
      </c>
      <c r="R25" s="46">
        <v>49000</v>
      </c>
      <c r="S25" s="46" t="s">
        <v>267</v>
      </c>
      <c r="T25" s="46" t="s">
        <v>309</v>
      </c>
      <c r="U25" s="46" t="s">
        <v>309</v>
      </c>
    </row>
    <row r="26" spans="1:21">
      <c r="A26" s="46">
        <v>49024</v>
      </c>
      <c r="B26" s="46">
        <v>49000</v>
      </c>
      <c r="C26" s="46" t="s">
        <v>355</v>
      </c>
      <c r="D26" s="46">
        <v>3</v>
      </c>
      <c r="E26" s="46">
        <v>5</v>
      </c>
      <c r="F26" s="55">
        <v>50</v>
      </c>
      <c r="G26" s="46">
        <v>16</v>
      </c>
      <c r="H26" s="46">
        <v>5</v>
      </c>
      <c r="I26" s="46" t="s">
        <v>360</v>
      </c>
      <c r="J26" s="46" t="s">
        <v>296</v>
      </c>
      <c r="K26" s="46" t="s">
        <v>361</v>
      </c>
      <c r="L26" s="46" t="s">
        <v>357</v>
      </c>
      <c r="M26" s="46" t="s">
        <v>358</v>
      </c>
      <c r="N26" s="46" t="s">
        <v>359</v>
      </c>
      <c r="O26" s="46">
        <v>0</v>
      </c>
      <c r="P26" s="46">
        <v>9</v>
      </c>
      <c r="Q26" s="46">
        <v>261</v>
      </c>
      <c r="R26" s="46">
        <v>49000</v>
      </c>
      <c r="S26" s="46" t="s">
        <v>267</v>
      </c>
      <c r="T26" s="46" t="s">
        <v>309</v>
      </c>
      <c r="U26" s="46" t="s">
        <v>309</v>
      </c>
    </row>
    <row r="27" spans="1:21">
      <c r="A27" s="46">
        <v>49025</v>
      </c>
      <c r="B27" s="46">
        <v>49000</v>
      </c>
      <c r="C27" s="46" t="s">
        <v>355</v>
      </c>
      <c r="D27" s="46">
        <v>4</v>
      </c>
      <c r="E27" s="46">
        <v>0</v>
      </c>
      <c r="F27" s="55">
        <v>400</v>
      </c>
      <c r="G27" s="46">
        <v>24</v>
      </c>
      <c r="H27" s="46">
        <v>5</v>
      </c>
      <c r="I27" s="46" t="s">
        <v>360</v>
      </c>
      <c r="J27" s="46" t="s">
        <v>296</v>
      </c>
      <c r="K27" s="46" t="s">
        <v>361</v>
      </c>
      <c r="L27" s="46" t="s">
        <v>357</v>
      </c>
      <c r="M27" s="46" t="s">
        <v>358</v>
      </c>
      <c r="N27" s="46" t="s">
        <v>359</v>
      </c>
      <c r="O27" s="46">
        <v>0</v>
      </c>
      <c r="P27" s="46">
        <v>11</v>
      </c>
      <c r="Q27" s="46">
        <v>280</v>
      </c>
      <c r="R27" s="46">
        <v>49000</v>
      </c>
      <c r="S27" s="46" t="s">
        <v>267</v>
      </c>
      <c r="T27" s="46" t="s">
        <v>309</v>
      </c>
      <c r="U27" s="46" t="s">
        <v>309</v>
      </c>
    </row>
    <row r="28" spans="1:21">
      <c r="A28" s="46">
        <v>49026</v>
      </c>
      <c r="B28" s="46">
        <v>49000</v>
      </c>
      <c r="C28" s="46" t="s">
        <v>355</v>
      </c>
      <c r="D28" s="46">
        <v>4</v>
      </c>
      <c r="E28" s="46">
        <v>1</v>
      </c>
      <c r="F28" s="55">
        <v>400</v>
      </c>
      <c r="G28" s="46">
        <v>24</v>
      </c>
      <c r="H28" s="46">
        <v>5</v>
      </c>
      <c r="I28" s="46" t="s">
        <v>360</v>
      </c>
      <c r="J28" s="46" t="s">
        <v>296</v>
      </c>
      <c r="K28" s="46" t="s">
        <v>361</v>
      </c>
      <c r="L28" s="46" t="s">
        <v>357</v>
      </c>
      <c r="M28" s="46" t="s">
        <v>358</v>
      </c>
      <c r="N28" s="46" t="s">
        <v>359</v>
      </c>
      <c r="O28" s="46">
        <v>0</v>
      </c>
      <c r="P28" s="46">
        <v>11</v>
      </c>
      <c r="Q28" s="46">
        <v>299</v>
      </c>
      <c r="R28" s="46">
        <v>49000</v>
      </c>
      <c r="S28" s="46" t="s">
        <v>267</v>
      </c>
      <c r="T28" s="46" t="s">
        <v>309</v>
      </c>
      <c r="U28" s="46" t="s">
        <v>309</v>
      </c>
    </row>
    <row r="29" spans="1:21">
      <c r="A29" s="46">
        <v>49027</v>
      </c>
      <c r="B29" s="46">
        <v>49000</v>
      </c>
      <c r="C29" s="46" t="s">
        <v>355</v>
      </c>
      <c r="D29" s="46">
        <v>4</v>
      </c>
      <c r="E29" s="46">
        <v>2</v>
      </c>
      <c r="F29" s="55">
        <v>400</v>
      </c>
      <c r="G29" s="46">
        <v>24</v>
      </c>
      <c r="H29" s="46">
        <v>5</v>
      </c>
      <c r="I29" s="46" t="s">
        <v>360</v>
      </c>
      <c r="J29" s="46" t="s">
        <v>296</v>
      </c>
      <c r="K29" s="46" t="s">
        <v>361</v>
      </c>
      <c r="L29" s="46" t="s">
        <v>357</v>
      </c>
      <c r="M29" s="46" t="s">
        <v>358</v>
      </c>
      <c r="N29" s="46" t="s">
        <v>359</v>
      </c>
      <c r="O29" s="46">
        <v>0</v>
      </c>
      <c r="P29" s="46">
        <v>11</v>
      </c>
      <c r="Q29" s="46">
        <v>318</v>
      </c>
      <c r="R29" s="46">
        <v>49000</v>
      </c>
      <c r="S29" s="46" t="s">
        <v>267</v>
      </c>
      <c r="T29" s="46" t="s">
        <v>309</v>
      </c>
      <c r="U29" s="46" t="s">
        <v>309</v>
      </c>
    </row>
    <row r="30" spans="1:21">
      <c r="A30" s="46">
        <v>49028</v>
      </c>
      <c r="B30" s="46">
        <v>49000</v>
      </c>
      <c r="C30" s="46" t="s">
        <v>355</v>
      </c>
      <c r="D30" s="46">
        <v>4</v>
      </c>
      <c r="E30" s="46">
        <v>3</v>
      </c>
      <c r="F30" s="55">
        <v>400</v>
      </c>
      <c r="G30" s="46">
        <v>24</v>
      </c>
      <c r="H30" s="46">
        <v>5</v>
      </c>
      <c r="I30" s="46" t="s">
        <v>360</v>
      </c>
      <c r="J30" s="46" t="s">
        <v>296</v>
      </c>
      <c r="K30" s="46" t="s">
        <v>361</v>
      </c>
      <c r="L30" s="46" t="s">
        <v>357</v>
      </c>
      <c r="M30" s="46" t="s">
        <v>358</v>
      </c>
      <c r="N30" s="46" t="s">
        <v>359</v>
      </c>
      <c r="O30" s="46">
        <v>0</v>
      </c>
      <c r="P30" s="46">
        <v>11</v>
      </c>
      <c r="Q30" s="46">
        <v>337</v>
      </c>
      <c r="R30" s="46">
        <v>49000</v>
      </c>
      <c r="S30" s="46" t="s">
        <v>267</v>
      </c>
      <c r="T30" s="46" t="s">
        <v>309</v>
      </c>
      <c r="U30" s="46" t="s">
        <v>309</v>
      </c>
    </row>
    <row r="31" spans="1:21">
      <c r="A31" s="46">
        <v>49029</v>
      </c>
      <c r="B31" s="46">
        <v>49000</v>
      </c>
      <c r="C31" s="46" t="s">
        <v>355</v>
      </c>
      <c r="D31" s="46">
        <v>4</v>
      </c>
      <c r="E31" s="46">
        <v>4</v>
      </c>
      <c r="F31" s="55">
        <v>400</v>
      </c>
      <c r="G31" s="46">
        <v>24</v>
      </c>
      <c r="H31" s="46">
        <v>5</v>
      </c>
      <c r="I31" s="46" t="s">
        <v>360</v>
      </c>
      <c r="J31" s="46" t="s">
        <v>296</v>
      </c>
      <c r="K31" s="46" t="s">
        <v>361</v>
      </c>
      <c r="L31" s="46" t="s">
        <v>357</v>
      </c>
      <c r="M31" s="46" t="s">
        <v>358</v>
      </c>
      <c r="N31" s="46" t="s">
        <v>359</v>
      </c>
      <c r="O31" s="46">
        <v>0</v>
      </c>
      <c r="P31" s="46">
        <v>11</v>
      </c>
      <c r="Q31" s="46">
        <v>356</v>
      </c>
      <c r="R31" s="46">
        <v>49000</v>
      </c>
      <c r="S31" s="46" t="s">
        <v>267</v>
      </c>
      <c r="T31" s="46" t="s">
        <v>309</v>
      </c>
      <c r="U31" s="46" t="s">
        <v>309</v>
      </c>
    </row>
    <row r="32" spans="1:21">
      <c r="A32" s="46">
        <v>49030</v>
      </c>
      <c r="B32" s="46">
        <v>49000</v>
      </c>
      <c r="C32" s="46" t="s">
        <v>355</v>
      </c>
      <c r="D32" s="46">
        <v>4</v>
      </c>
      <c r="E32" s="46">
        <v>5</v>
      </c>
      <c r="F32" s="55">
        <v>300</v>
      </c>
      <c r="G32" s="46">
        <v>48</v>
      </c>
      <c r="H32" s="46">
        <v>6</v>
      </c>
      <c r="I32" s="46" t="s">
        <v>360</v>
      </c>
      <c r="J32" s="46" t="s">
        <v>296</v>
      </c>
      <c r="K32" s="46" t="s">
        <v>361</v>
      </c>
      <c r="L32" s="46" t="s">
        <v>357</v>
      </c>
      <c r="M32" s="46" t="s">
        <v>358</v>
      </c>
      <c r="N32" s="46" t="s">
        <v>359</v>
      </c>
      <c r="O32" s="46">
        <v>0</v>
      </c>
      <c r="P32" s="46">
        <v>11</v>
      </c>
      <c r="Q32" s="46">
        <v>375</v>
      </c>
      <c r="R32" s="46">
        <v>49000</v>
      </c>
      <c r="S32" s="46" t="s">
        <v>267</v>
      </c>
      <c r="T32" s="46" t="s">
        <v>309</v>
      </c>
      <c r="U32" s="46" t="s">
        <v>309</v>
      </c>
    </row>
    <row r="33" spans="1:21">
      <c r="A33" s="46">
        <v>49031</v>
      </c>
      <c r="B33" s="46">
        <v>49000</v>
      </c>
      <c r="C33" s="46" t="s">
        <v>355</v>
      </c>
      <c r="D33" s="46">
        <v>5</v>
      </c>
      <c r="E33" s="46">
        <v>0</v>
      </c>
      <c r="F33" s="55">
        <v>800</v>
      </c>
      <c r="G33" s="46">
        <v>48</v>
      </c>
      <c r="H33" s="46">
        <v>6</v>
      </c>
      <c r="I33" s="46" t="s">
        <v>360</v>
      </c>
      <c r="J33" s="46" t="s">
        <v>296</v>
      </c>
      <c r="K33" s="46" t="s">
        <v>361</v>
      </c>
      <c r="L33" s="46" t="s">
        <v>357</v>
      </c>
      <c r="M33" s="46" t="s">
        <v>358</v>
      </c>
      <c r="N33" s="46" t="s">
        <v>359</v>
      </c>
      <c r="O33" s="46">
        <v>0</v>
      </c>
      <c r="P33" s="46">
        <v>13</v>
      </c>
      <c r="Q33" s="46">
        <v>400</v>
      </c>
      <c r="R33" s="46">
        <v>49000</v>
      </c>
      <c r="S33" s="46" t="s">
        <v>267</v>
      </c>
      <c r="T33" s="46" t="s">
        <v>309</v>
      </c>
      <c r="U33" s="46" t="s">
        <v>309</v>
      </c>
    </row>
    <row r="34" spans="1:21">
      <c r="A34" s="46">
        <v>49032</v>
      </c>
      <c r="B34" s="46">
        <v>49000</v>
      </c>
      <c r="C34" s="46" t="s">
        <v>355</v>
      </c>
      <c r="D34" s="46">
        <v>5</v>
      </c>
      <c r="E34" s="46">
        <v>1</v>
      </c>
      <c r="F34" s="55">
        <v>800</v>
      </c>
      <c r="G34" s="46">
        <v>48</v>
      </c>
      <c r="H34" s="46">
        <v>6</v>
      </c>
      <c r="I34" s="46" t="s">
        <v>360</v>
      </c>
      <c r="J34" s="46" t="s">
        <v>296</v>
      </c>
      <c r="K34" s="46" t="s">
        <v>361</v>
      </c>
      <c r="L34" s="46" t="s">
        <v>357</v>
      </c>
      <c r="M34" s="46" t="s">
        <v>358</v>
      </c>
      <c r="N34" s="46" t="s">
        <v>359</v>
      </c>
      <c r="O34" s="46">
        <v>0</v>
      </c>
      <c r="P34" s="46">
        <v>13</v>
      </c>
      <c r="Q34" s="46">
        <v>425</v>
      </c>
      <c r="R34" s="46">
        <v>49000</v>
      </c>
      <c r="S34" s="46" t="s">
        <v>267</v>
      </c>
      <c r="T34" s="46" t="s">
        <v>309</v>
      </c>
      <c r="U34" s="46" t="s">
        <v>309</v>
      </c>
    </row>
    <row r="35" spans="1:21">
      <c r="A35" s="46">
        <v>49033</v>
      </c>
      <c r="B35" s="46">
        <v>49000</v>
      </c>
      <c r="C35" s="46" t="s">
        <v>355</v>
      </c>
      <c r="D35" s="46">
        <v>5</v>
      </c>
      <c r="E35" s="46">
        <v>2</v>
      </c>
      <c r="F35" s="55">
        <v>800</v>
      </c>
      <c r="G35" s="46">
        <v>48</v>
      </c>
      <c r="H35" s="46">
        <v>6</v>
      </c>
      <c r="I35" s="46" t="s">
        <v>360</v>
      </c>
      <c r="J35" s="46" t="s">
        <v>296</v>
      </c>
      <c r="K35" s="46" t="s">
        <v>361</v>
      </c>
      <c r="L35" s="46" t="s">
        <v>357</v>
      </c>
      <c r="M35" s="46" t="s">
        <v>358</v>
      </c>
      <c r="N35" s="46" t="s">
        <v>359</v>
      </c>
      <c r="O35" s="46">
        <v>0</v>
      </c>
      <c r="P35" s="46">
        <v>13</v>
      </c>
      <c r="Q35" s="46">
        <v>450</v>
      </c>
      <c r="R35" s="46">
        <v>49000</v>
      </c>
      <c r="S35" s="46" t="s">
        <v>267</v>
      </c>
      <c r="T35" s="46" t="s">
        <v>309</v>
      </c>
      <c r="U35" s="46" t="s">
        <v>309</v>
      </c>
    </row>
    <row r="36" spans="1:21">
      <c r="A36" s="46">
        <v>49034</v>
      </c>
      <c r="B36" s="46">
        <v>49000</v>
      </c>
      <c r="C36" s="46" t="s">
        <v>355</v>
      </c>
      <c r="D36" s="46">
        <v>5</v>
      </c>
      <c r="E36" s="46">
        <v>3</v>
      </c>
      <c r="F36" s="55">
        <v>800</v>
      </c>
      <c r="G36" s="46">
        <v>48</v>
      </c>
      <c r="H36" s="46">
        <v>6</v>
      </c>
      <c r="I36" s="46" t="s">
        <v>360</v>
      </c>
      <c r="J36" s="46" t="s">
        <v>296</v>
      </c>
      <c r="K36" s="46" t="s">
        <v>361</v>
      </c>
      <c r="L36" s="46" t="s">
        <v>357</v>
      </c>
      <c r="M36" s="46" t="s">
        <v>358</v>
      </c>
      <c r="N36" s="46" t="s">
        <v>359</v>
      </c>
      <c r="O36" s="46">
        <v>0</v>
      </c>
      <c r="P36" s="46">
        <v>13</v>
      </c>
      <c r="Q36" s="46">
        <v>475</v>
      </c>
      <c r="R36" s="46">
        <v>49000</v>
      </c>
      <c r="S36" s="46" t="s">
        <v>267</v>
      </c>
      <c r="T36" s="46" t="s">
        <v>309</v>
      </c>
      <c r="U36" s="46" t="s">
        <v>309</v>
      </c>
    </row>
    <row r="37" spans="1:21">
      <c r="A37" s="46">
        <v>49035</v>
      </c>
      <c r="B37" s="46">
        <v>49000</v>
      </c>
      <c r="C37" s="46" t="s">
        <v>355</v>
      </c>
      <c r="D37" s="46">
        <v>5</v>
      </c>
      <c r="E37" s="46">
        <v>4</v>
      </c>
      <c r="F37" s="55">
        <v>800</v>
      </c>
      <c r="G37" s="46">
        <v>48</v>
      </c>
      <c r="H37" s="46">
        <v>6</v>
      </c>
      <c r="I37" s="46" t="s">
        <v>360</v>
      </c>
      <c r="J37" s="46" t="s">
        <v>296</v>
      </c>
      <c r="K37" s="46" t="s">
        <v>361</v>
      </c>
      <c r="L37" s="46" t="s">
        <v>357</v>
      </c>
      <c r="M37" s="46" t="s">
        <v>358</v>
      </c>
      <c r="N37" s="46" t="s">
        <v>359</v>
      </c>
      <c r="O37" s="46">
        <v>0</v>
      </c>
      <c r="P37" s="46">
        <v>13</v>
      </c>
      <c r="Q37" s="46">
        <v>500</v>
      </c>
      <c r="R37" s="46">
        <v>49000</v>
      </c>
      <c r="S37" s="46" t="s">
        <v>267</v>
      </c>
      <c r="T37" s="46" t="s">
        <v>309</v>
      </c>
      <c r="U37" s="46" t="s">
        <v>309</v>
      </c>
    </row>
    <row r="38" spans="1:21">
      <c r="A38" s="46">
        <v>49036</v>
      </c>
      <c r="B38" s="46">
        <v>49000</v>
      </c>
      <c r="C38" s="46" t="s">
        <v>355</v>
      </c>
      <c r="D38" s="46">
        <v>5</v>
      </c>
      <c r="E38" s="46">
        <v>5</v>
      </c>
      <c r="F38" s="55">
        <v>0</v>
      </c>
      <c r="G38" s="46">
        <v>0</v>
      </c>
      <c r="H38" s="46">
        <v>6</v>
      </c>
      <c r="I38" s="46" t="s">
        <v>360</v>
      </c>
      <c r="J38" s="46" t="s">
        <v>296</v>
      </c>
      <c r="K38" s="46" t="s">
        <v>361</v>
      </c>
      <c r="L38" s="46" t="s">
        <v>357</v>
      </c>
      <c r="M38" s="46" t="s">
        <v>358</v>
      </c>
      <c r="N38" s="46" t="s">
        <v>359</v>
      </c>
      <c r="O38" s="46">
        <v>0</v>
      </c>
      <c r="P38" s="46">
        <v>13</v>
      </c>
      <c r="Q38" s="46">
        <v>525</v>
      </c>
      <c r="R38" s="46">
        <v>49000</v>
      </c>
      <c r="S38" s="46" t="s">
        <v>267</v>
      </c>
      <c r="T38" s="46" t="s">
        <v>309</v>
      </c>
      <c r="U38" s="46" t="s">
        <v>309</v>
      </c>
    </row>
    <row r="39" spans="1:21">
      <c r="A39" s="46">
        <v>49101</v>
      </c>
      <c r="B39" s="46">
        <v>49100</v>
      </c>
      <c r="C39" s="46" t="s">
        <v>355</v>
      </c>
      <c r="D39" s="46">
        <v>0</v>
      </c>
      <c r="E39" s="46">
        <v>0</v>
      </c>
      <c r="F39" s="55">
        <v>20</v>
      </c>
      <c r="G39" s="46">
        <v>2</v>
      </c>
      <c r="H39" s="46">
        <v>2</v>
      </c>
      <c r="I39" s="46" t="s">
        <v>362</v>
      </c>
      <c r="J39" s="46" t="s">
        <v>363</v>
      </c>
      <c r="K39" s="46" t="s">
        <v>364</v>
      </c>
      <c r="L39" s="46" t="s">
        <v>357</v>
      </c>
      <c r="M39" s="46" t="s">
        <v>358</v>
      </c>
      <c r="N39" s="46" t="s">
        <v>359</v>
      </c>
      <c r="O39" s="46">
        <v>0</v>
      </c>
      <c r="P39" s="46">
        <v>2</v>
      </c>
      <c r="Q39" s="46">
        <v>0.3</v>
      </c>
      <c r="R39" s="46">
        <v>49100</v>
      </c>
      <c r="S39" s="46" t="s">
        <v>267</v>
      </c>
      <c r="T39" s="46" t="s">
        <v>309</v>
      </c>
      <c r="U39" s="46" t="s">
        <v>309</v>
      </c>
    </row>
    <row r="40" spans="1:21">
      <c r="A40" s="46">
        <v>49102</v>
      </c>
      <c r="B40" s="46">
        <v>49100</v>
      </c>
      <c r="C40" s="46" t="s">
        <v>355</v>
      </c>
      <c r="D40" s="46">
        <v>0</v>
      </c>
      <c r="E40" s="46">
        <v>1</v>
      </c>
      <c r="F40" s="55">
        <v>20</v>
      </c>
      <c r="G40" s="46">
        <v>2</v>
      </c>
      <c r="H40" s="46">
        <v>2</v>
      </c>
      <c r="I40" s="46" t="s">
        <v>362</v>
      </c>
      <c r="J40" s="46" t="s">
        <v>363</v>
      </c>
      <c r="K40" s="46" t="s">
        <v>364</v>
      </c>
      <c r="L40" s="46" t="s">
        <v>357</v>
      </c>
      <c r="M40" s="46" t="s">
        <v>358</v>
      </c>
      <c r="N40" s="46" t="s">
        <v>359</v>
      </c>
      <c r="O40" s="46">
        <v>0</v>
      </c>
      <c r="P40" s="46">
        <v>2</v>
      </c>
      <c r="Q40" s="46">
        <v>0.3</v>
      </c>
      <c r="R40" s="46">
        <v>49100</v>
      </c>
      <c r="S40" s="46" t="s">
        <v>267</v>
      </c>
      <c r="T40" s="46" t="s">
        <v>309</v>
      </c>
      <c r="U40" s="46" t="s">
        <v>309</v>
      </c>
    </row>
    <row r="41" spans="1:21">
      <c r="A41" s="46">
        <v>49103</v>
      </c>
      <c r="B41" s="46">
        <v>49100</v>
      </c>
      <c r="C41" s="46" t="s">
        <v>355</v>
      </c>
      <c r="D41" s="46">
        <v>0</v>
      </c>
      <c r="E41" s="46">
        <v>2</v>
      </c>
      <c r="F41" s="55">
        <v>20</v>
      </c>
      <c r="G41" s="46">
        <v>2</v>
      </c>
      <c r="H41" s="46">
        <v>2</v>
      </c>
      <c r="I41" s="46" t="s">
        <v>362</v>
      </c>
      <c r="J41" s="46" t="s">
        <v>363</v>
      </c>
      <c r="K41" s="46" t="s">
        <v>364</v>
      </c>
      <c r="L41" s="46" t="s">
        <v>357</v>
      </c>
      <c r="M41" s="46" t="s">
        <v>358</v>
      </c>
      <c r="N41" s="46" t="s">
        <v>359</v>
      </c>
      <c r="O41" s="46">
        <v>0</v>
      </c>
      <c r="P41" s="46">
        <v>2</v>
      </c>
      <c r="Q41" s="46">
        <v>0.3</v>
      </c>
      <c r="R41" s="46">
        <v>49100</v>
      </c>
      <c r="S41" s="46" t="s">
        <v>267</v>
      </c>
      <c r="T41" s="46" t="s">
        <v>309</v>
      </c>
      <c r="U41" s="46" t="s">
        <v>309</v>
      </c>
    </row>
    <row r="42" spans="1:21">
      <c r="A42" s="46">
        <v>49104</v>
      </c>
      <c r="B42" s="46">
        <v>49100</v>
      </c>
      <c r="C42" s="46" t="s">
        <v>355</v>
      </c>
      <c r="D42" s="46">
        <v>0</v>
      </c>
      <c r="E42" s="46">
        <v>3</v>
      </c>
      <c r="F42" s="55">
        <v>20</v>
      </c>
      <c r="G42" s="46">
        <v>2</v>
      </c>
      <c r="H42" s="46">
        <v>2</v>
      </c>
      <c r="I42" s="46" t="s">
        <v>362</v>
      </c>
      <c r="J42" s="46" t="s">
        <v>363</v>
      </c>
      <c r="K42" s="46" t="s">
        <v>364</v>
      </c>
      <c r="L42" s="46" t="s">
        <v>357</v>
      </c>
      <c r="M42" s="46" t="s">
        <v>358</v>
      </c>
      <c r="N42" s="46" t="s">
        <v>359</v>
      </c>
      <c r="O42" s="46">
        <v>0</v>
      </c>
      <c r="P42" s="46">
        <v>2</v>
      </c>
      <c r="Q42" s="46">
        <v>0.3</v>
      </c>
      <c r="R42" s="46">
        <v>49100</v>
      </c>
      <c r="S42" s="46" t="s">
        <v>267</v>
      </c>
      <c r="T42" s="46" t="s">
        <v>309</v>
      </c>
      <c r="U42" s="46" t="s">
        <v>309</v>
      </c>
    </row>
    <row r="43" spans="1:21">
      <c r="A43" s="46">
        <v>49105</v>
      </c>
      <c r="B43" s="46">
        <v>49100</v>
      </c>
      <c r="C43" s="46" t="s">
        <v>355</v>
      </c>
      <c r="D43" s="46">
        <v>0</v>
      </c>
      <c r="E43" s="46">
        <v>4</v>
      </c>
      <c r="F43" s="55">
        <v>20</v>
      </c>
      <c r="G43" s="46">
        <v>2</v>
      </c>
      <c r="H43" s="46">
        <v>2</v>
      </c>
      <c r="I43" s="46" t="s">
        <v>362</v>
      </c>
      <c r="J43" s="46" t="s">
        <v>363</v>
      </c>
      <c r="K43" s="46" t="s">
        <v>364</v>
      </c>
      <c r="L43" s="46" t="s">
        <v>357</v>
      </c>
      <c r="M43" s="46" t="s">
        <v>358</v>
      </c>
      <c r="N43" s="46" t="s">
        <v>359</v>
      </c>
      <c r="O43" s="46">
        <v>0</v>
      </c>
      <c r="P43" s="46">
        <v>2</v>
      </c>
      <c r="Q43" s="46">
        <v>0.3</v>
      </c>
      <c r="R43" s="46">
        <v>49100</v>
      </c>
      <c r="S43" s="46" t="s">
        <v>267</v>
      </c>
      <c r="T43" s="46" t="s">
        <v>309</v>
      </c>
      <c r="U43" s="46" t="s">
        <v>309</v>
      </c>
    </row>
    <row r="44" spans="1:21">
      <c r="A44" s="46">
        <v>49106</v>
      </c>
      <c r="B44" s="46">
        <v>49100</v>
      </c>
      <c r="C44" s="46" t="s">
        <v>355</v>
      </c>
      <c r="D44" s="46">
        <v>0</v>
      </c>
      <c r="E44" s="46">
        <v>5</v>
      </c>
      <c r="F44" s="55">
        <v>1</v>
      </c>
      <c r="G44" s="46">
        <v>2</v>
      </c>
      <c r="H44" s="46">
        <v>2</v>
      </c>
      <c r="I44" s="46" t="s">
        <v>362</v>
      </c>
      <c r="J44" s="46" t="s">
        <v>363</v>
      </c>
      <c r="K44" s="46" t="s">
        <v>364</v>
      </c>
      <c r="L44" s="46" t="s">
        <v>357</v>
      </c>
      <c r="M44" s="46" t="s">
        <v>358</v>
      </c>
      <c r="N44" s="46" t="s">
        <v>359</v>
      </c>
      <c r="O44" s="46">
        <v>0</v>
      </c>
      <c r="P44" s="46">
        <v>2</v>
      </c>
      <c r="Q44" s="46">
        <v>0.3</v>
      </c>
      <c r="R44" s="46">
        <v>49100</v>
      </c>
      <c r="S44" s="46" t="s">
        <v>267</v>
      </c>
      <c r="T44" s="46" t="s">
        <v>309</v>
      </c>
      <c r="U44" s="46" t="s">
        <v>309</v>
      </c>
    </row>
    <row r="45" spans="1:21">
      <c r="A45" s="46">
        <v>49107</v>
      </c>
      <c r="B45" s="46">
        <v>49100</v>
      </c>
      <c r="C45" s="46" t="s">
        <v>355</v>
      </c>
      <c r="D45" s="46">
        <v>1</v>
      </c>
      <c r="E45" s="46">
        <v>0</v>
      </c>
      <c r="F45" s="55">
        <v>50</v>
      </c>
      <c r="G45" s="46">
        <v>4</v>
      </c>
      <c r="H45" s="46">
        <v>2</v>
      </c>
      <c r="I45" s="46" t="s">
        <v>362</v>
      </c>
      <c r="J45" s="46" t="s">
        <v>363</v>
      </c>
      <c r="K45" s="46" t="s">
        <v>364</v>
      </c>
      <c r="L45" s="46" t="s">
        <v>357</v>
      </c>
      <c r="M45" s="46" t="s">
        <v>358</v>
      </c>
      <c r="N45" s="46" t="s">
        <v>359</v>
      </c>
      <c r="O45" s="46">
        <v>0</v>
      </c>
      <c r="P45" s="46">
        <v>2.5</v>
      </c>
      <c r="Q45" s="46">
        <v>0.5</v>
      </c>
      <c r="R45" s="46">
        <v>49100</v>
      </c>
      <c r="S45" s="46" t="s">
        <v>267</v>
      </c>
      <c r="T45" s="46" t="s">
        <v>309</v>
      </c>
      <c r="U45" s="46" t="s">
        <v>309</v>
      </c>
    </row>
    <row r="46" spans="1:21">
      <c r="A46" s="46">
        <v>49108</v>
      </c>
      <c r="B46" s="46">
        <v>49100</v>
      </c>
      <c r="C46" s="46" t="s">
        <v>355</v>
      </c>
      <c r="D46" s="46">
        <v>1</v>
      </c>
      <c r="E46" s="46">
        <v>1</v>
      </c>
      <c r="F46" s="55">
        <v>50</v>
      </c>
      <c r="G46" s="46">
        <v>4</v>
      </c>
      <c r="H46" s="46">
        <v>2</v>
      </c>
      <c r="I46" s="46" t="s">
        <v>362</v>
      </c>
      <c r="J46" s="46" t="s">
        <v>363</v>
      </c>
      <c r="K46" s="46" t="s">
        <v>364</v>
      </c>
      <c r="L46" s="46" t="s">
        <v>357</v>
      </c>
      <c r="M46" s="46" t="s">
        <v>358</v>
      </c>
      <c r="N46" s="46" t="s">
        <v>359</v>
      </c>
      <c r="O46" s="46">
        <v>0</v>
      </c>
      <c r="P46" s="46">
        <v>2.5</v>
      </c>
      <c r="Q46" s="46">
        <v>0.5</v>
      </c>
      <c r="R46" s="46">
        <v>49100</v>
      </c>
      <c r="S46" s="46" t="s">
        <v>267</v>
      </c>
      <c r="T46" s="46" t="s">
        <v>309</v>
      </c>
      <c r="U46" s="46" t="s">
        <v>309</v>
      </c>
    </row>
    <row r="47" spans="1:21">
      <c r="A47" s="46">
        <v>49109</v>
      </c>
      <c r="B47" s="46">
        <v>49100</v>
      </c>
      <c r="C47" s="46" t="s">
        <v>355</v>
      </c>
      <c r="D47" s="46">
        <v>1</v>
      </c>
      <c r="E47" s="46">
        <v>2</v>
      </c>
      <c r="F47" s="55">
        <v>50</v>
      </c>
      <c r="G47" s="46">
        <v>4</v>
      </c>
      <c r="H47" s="46">
        <v>2</v>
      </c>
      <c r="I47" s="46" t="s">
        <v>362</v>
      </c>
      <c r="J47" s="46" t="s">
        <v>363</v>
      </c>
      <c r="K47" s="46" t="s">
        <v>364</v>
      </c>
      <c r="L47" s="46" t="s">
        <v>357</v>
      </c>
      <c r="M47" s="46" t="s">
        <v>358</v>
      </c>
      <c r="N47" s="46" t="s">
        <v>359</v>
      </c>
      <c r="O47" s="46">
        <v>0</v>
      </c>
      <c r="P47" s="46">
        <v>2.5</v>
      </c>
      <c r="Q47" s="46">
        <v>0.5</v>
      </c>
      <c r="R47" s="46">
        <v>49100</v>
      </c>
      <c r="S47" s="46" t="s">
        <v>267</v>
      </c>
      <c r="T47" s="46" t="s">
        <v>309</v>
      </c>
      <c r="U47" s="46" t="s">
        <v>309</v>
      </c>
    </row>
    <row r="48" spans="1:21">
      <c r="A48" s="46">
        <v>49110</v>
      </c>
      <c r="B48" s="46">
        <v>49100</v>
      </c>
      <c r="C48" s="46" t="s">
        <v>355</v>
      </c>
      <c r="D48" s="46">
        <v>1</v>
      </c>
      <c r="E48" s="46">
        <v>3</v>
      </c>
      <c r="F48" s="55">
        <v>50</v>
      </c>
      <c r="G48" s="46">
        <v>4</v>
      </c>
      <c r="H48" s="46">
        <v>2</v>
      </c>
      <c r="I48" s="46" t="s">
        <v>362</v>
      </c>
      <c r="J48" s="46" t="s">
        <v>363</v>
      </c>
      <c r="K48" s="46" t="s">
        <v>364</v>
      </c>
      <c r="L48" s="46" t="s">
        <v>357</v>
      </c>
      <c r="M48" s="46" t="s">
        <v>358</v>
      </c>
      <c r="N48" s="46" t="s">
        <v>359</v>
      </c>
      <c r="O48" s="46">
        <v>0</v>
      </c>
      <c r="P48" s="46">
        <v>2.5</v>
      </c>
      <c r="Q48" s="46">
        <v>0.5</v>
      </c>
      <c r="R48" s="46">
        <v>49100</v>
      </c>
      <c r="S48" s="46" t="s">
        <v>267</v>
      </c>
      <c r="T48" s="46" t="s">
        <v>309</v>
      </c>
      <c r="U48" s="46" t="s">
        <v>309</v>
      </c>
    </row>
    <row r="49" spans="1:21">
      <c r="A49" s="46">
        <v>49111</v>
      </c>
      <c r="B49" s="46">
        <v>49100</v>
      </c>
      <c r="C49" s="46" t="s">
        <v>355</v>
      </c>
      <c r="D49" s="46">
        <v>1</v>
      </c>
      <c r="E49" s="46">
        <v>4</v>
      </c>
      <c r="F49" s="55">
        <v>50</v>
      </c>
      <c r="G49" s="46">
        <v>4</v>
      </c>
      <c r="H49" s="46">
        <v>2</v>
      </c>
      <c r="I49" s="46" t="s">
        <v>362</v>
      </c>
      <c r="J49" s="46" t="s">
        <v>363</v>
      </c>
      <c r="K49" s="46" t="s">
        <v>364</v>
      </c>
      <c r="L49" s="46" t="s">
        <v>357</v>
      </c>
      <c r="M49" s="46" t="s">
        <v>358</v>
      </c>
      <c r="N49" s="46" t="s">
        <v>359</v>
      </c>
      <c r="O49" s="46">
        <v>0</v>
      </c>
      <c r="P49" s="46">
        <v>2.5</v>
      </c>
      <c r="Q49" s="46">
        <v>0.5</v>
      </c>
      <c r="R49" s="46">
        <v>49100</v>
      </c>
      <c r="S49" s="46" t="s">
        <v>267</v>
      </c>
      <c r="T49" s="46" t="s">
        <v>309</v>
      </c>
      <c r="U49" s="46" t="s">
        <v>309</v>
      </c>
    </row>
    <row r="50" spans="1:21">
      <c r="A50" s="46">
        <v>49112</v>
      </c>
      <c r="B50" s="46">
        <v>49100</v>
      </c>
      <c r="C50" s="46" t="s">
        <v>355</v>
      </c>
      <c r="D50" s="46">
        <v>1</v>
      </c>
      <c r="E50" s="46">
        <v>5</v>
      </c>
      <c r="F50" s="55">
        <v>5</v>
      </c>
      <c r="G50" s="46">
        <v>4</v>
      </c>
      <c r="H50" s="46">
        <v>3</v>
      </c>
      <c r="I50" s="46" t="s">
        <v>362</v>
      </c>
      <c r="J50" s="46" t="s">
        <v>363</v>
      </c>
      <c r="K50" s="46" t="s">
        <v>364</v>
      </c>
      <c r="L50" s="46" t="s">
        <v>357</v>
      </c>
      <c r="M50" s="46" t="s">
        <v>358</v>
      </c>
      <c r="N50" s="46" t="s">
        <v>359</v>
      </c>
      <c r="O50" s="46">
        <v>0</v>
      </c>
      <c r="P50" s="46">
        <v>2.5</v>
      </c>
      <c r="Q50" s="46">
        <v>0.5</v>
      </c>
      <c r="R50" s="46">
        <v>49100</v>
      </c>
      <c r="S50" s="46" t="s">
        <v>267</v>
      </c>
      <c r="T50" s="46" t="s">
        <v>309</v>
      </c>
      <c r="U50" s="46" t="s">
        <v>309</v>
      </c>
    </row>
    <row r="51" spans="1:21">
      <c r="A51" s="46">
        <v>49113</v>
      </c>
      <c r="B51" s="46">
        <v>49100</v>
      </c>
      <c r="C51" s="46" t="s">
        <v>355</v>
      </c>
      <c r="D51" s="46">
        <v>2</v>
      </c>
      <c r="E51" s="46">
        <v>0</v>
      </c>
      <c r="F51" s="55">
        <v>100</v>
      </c>
      <c r="G51" s="46">
        <v>8</v>
      </c>
      <c r="H51" s="46">
        <v>3</v>
      </c>
      <c r="I51" s="46" t="s">
        <v>362</v>
      </c>
      <c r="J51" s="46" t="s">
        <v>363</v>
      </c>
      <c r="K51" s="46" t="s">
        <v>364</v>
      </c>
      <c r="L51" s="46" t="s">
        <v>357</v>
      </c>
      <c r="M51" s="46" t="s">
        <v>358</v>
      </c>
      <c r="N51" s="46" t="s">
        <v>359</v>
      </c>
      <c r="O51" s="46">
        <v>0</v>
      </c>
      <c r="P51" s="46">
        <v>3</v>
      </c>
      <c r="Q51" s="46">
        <v>0.7</v>
      </c>
      <c r="R51" s="46">
        <v>49100</v>
      </c>
      <c r="S51" s="46" t="s">
        <v>267</v>
      </c>
      <c r="T51" s="46" t="s">
        <v>309</v>
      </c>
      <c r="U51" s="46" t="s">
        <v>309</v>
      </c>
    </row>
    <row r="52" spans="1:21">
      <c r="A52" s="46">
        <v>49114</v>
      </c>
      <c r="B52" s="46">
        <v>49100</v>
      </c>
      <c r="C52" s="46" t="s">
        <v>355</v>
      </c>
      <c r="D52" s="46">
        <v>2</v>
      </c>
      <c r="E52" s="46">
        <v>1</v>
      </c>
      <c r="F52" s="55">
        <v>100</v>
      </c>
      <c r="G52" s="46">
        <v>8</v>
      </c>
      <c r="H52" s="46">
        <v>3</v>
      </c>
      <c r="I52" s="46" t="s">
        <v>362</v>
      </c>
      <c r="J52" s="46" t="s">
        <v>363</v>
      </c>
      <c r="K52" s="46" t="s">
        <v>364</v>
      </c>
      <c r="L52" s="46" t="s">
        <v>357</v>
      </c>
      <c r="M52" s="46" t="s">
        <v>358</v>
      </c>
      <c r="N52" s="46" t="s">
        <v>359</v>
      </c>
      <c r="O52" s="46">
        <v>0</v>
      </c>
      <c r="P52" s="46">
        <v>3</v>
      </c>
      <c r="Q52" s="46">
        <v>0.7</v>
      </c>
      <c r="R52" s="46">
        <v>49100</v>
      </c>
      <c r="S52" s="46" t="s">
        <v>267</v>
      </c>
      <c r="T52" s="46" t="s">
        <v>309</v>
      </c>
      <c r="U52" s="46" t="s">
        <v>309</v>
      </c>
    </row>
    <row r="53" spans="1:21">
      <c r="A53" s="46">
        <v>49115</v>
      </c>
      <c r="B53" s="46">
        <v>49100</v>
      </c>
      <c r="C53" s="46" t="s">
        <v>355</v>
      </c>
      <c r="D53" s="46">
        <v>2</v>
      </c>
      <c r="E53" s="46">
        <v>2</v>
      </c>
      <c r="F53" s="55">
        <v>100</v>
      </c>
      <c r="G53" s="46">
        <v>8</v>
      </c>
      <c r="H53" s="46">
        <v>3</v>
      </c>
      <c r="I53" s="46" t="s">
        <v>362</v>
      </c>
      <c r="J53" s="46" t="s">
        <v>363</v>
      </c>
      <c r="K53" s="46" t="s">
        <v>364</v>
      </c>
      <c r="L53" s="46" t="s">
        <v>357</v>
      </c>
      <c r="M53" s="46" t="s">
        <v>358</v>
      </c>
      <c r="N53" s="46" t="s">
        <v>359</v>
      </c>
      <c r="O53" s="46">
        <v>0</v>
      </c>
      <c r="P53" s="46">
        <v>3</v>
      </c>
      <c r="Q53" s="46">
        <v>0.7</v>
      </c>
      <c r="R53" s="46">
        <v>49100</v>
      </c>
      <c r="S53" s="46" t="s">
        <v>267</v>
      </c>
      <c r="T53" s="46" t="s">
        <v>309</v>
      </c>
      <c r="U53" s="46" t="s">
        <v>309</v>
      </c>
    </row>
    <row r="54" spans="1:21">
      <c r="A54" s="46">
        <v>49116</v>
      </c>
      <c r="B54" s="46">
        <v>49100</v>
      </c>
      <c r="C54" s="46" t="s">
        <v>355</v>
      </c>
      <c r="D54" s="46">
        <v>2</v>
      </c>
      <c r="E54" s="46">
        <v>3</v>
      </c>
      <c r="F54" s="55">
        <v>100</v>
      </c>
      <c r="G54" s="46">
        <v>8</v>
      </c>
      <c r="H54" s="46">
        <v>3</v>
      </c>
      <c r="I54" s="46" t="s">
        <v>362</v>
      </c>
      <c r="J54" s="46" t="s">
        <v>363</v>
      </c>
      <c r="K54" s="46" t="s">
        <v>364</v>
      </c>
      <c r="L54" s="46" t="s">
        <v>357</v>
      </c>
      <c r="M54" s="46" t="s">
        <v>358</v>
      </c>
      <c r="N54" s="46" t="s">
        <v>359</v>
      </c>
      <c r="O54" s="46">
        <v>0</v>
      </c>
      <c r="P54" s="46">
        <v>3</v>
      </c>
      <c r="Q54" s="46">
        <v>0.7</v>
      </c>
      <c r="R54" s="46">
        <v>49100</v>
      </c>
      <c r="S54" s="46" t="s">
        <v>267</v>
      </c>
      <c r="T54" s="46" t="s">
        <v>309</v>
      </c>
      <c r="U54" s="46" t="s">
        <v>309</v>
      </c>
    </row>
    <row r="55" spans="1:21">
      <c r="A55" s="46">
        <v>49117</v>
      </c>
      <c r="B55" s="46">
        <v>49100</v>
      </c>
      <c r="C55" s="46" t="s">
        <v>355</v>
      </c>
      <c r="D55" s="46">
        <v>2</v>
      </c>
      <c r="E55" s="46">
        <v>4</v>
      </c>
      <c r="F55" s="55">
        <v>100</v>
      </c>
      <c r="G55" s="46">
        <v>8</v>
      </c>
      <c r="H55" s="46">
        <v>3</v>
      </c>
      <c r="I55" s="46" t="s">
        <v>362</v>
      </c>
      <c r="J55" s="46" t="s">
        <v>363</v>
      </c>
      <c r="K55" s="46" t="s">
        <v>364</v>
      </c>
      <c r="L55" s="46" t="s">
        <v>357</v>
      </c>
      <c r="M55" s="46" t="s">
        <v>358</v>
      </c>
      <c r="N55" s="46" t="s">
        <v>359</v>
      </c>
      <c r="O55" s="46">
        <v>0</v>
      </c>
      <c r="P55" s="46">
        <v>3</v>
      </c>
      <c r="Q55" s="46">
        <v>0.7</v>
      </c>
      <c r="R55" s="46">
        <v>49100</v>
      </c>
      <c r="S55" s="46" t="s">
        <v>267</v>
      </c>
      <c r="T55" s="46" t="s">
        <v>309</v>
      </c>
      <c r="U55" s="46" t="s">
        <v>309</v>
      </c>
    </row>
    <row r="56" spans="1:21">
      <c r="A56" s="46">
        <v>49118</v>
      </c>
      <c r="B56" s="46">
        <v>49100</v>
      </c>
      <c r="C56" s="46" t="s">
        <v>355</v>
      </c>
      <c r="D56" s="46">
        <v>2</v>
      </c>
      <c r="E56" s="46">
        <v>5</v>
      </c>
      <c r="F56" s="55">
        <v>10</v>
      </c>
      <c r="G56" s="46">
        <v>8</v>
      </c>
      <c r="H56" s="46">
        <v>4</v>
      </c>
      <c r="I56" s="46" t="s">
        <v>362</v>
      </c>
      <c r="J56" s="46" t="s">
        <v>363</v>
      </c>
      <c r="K56" s="46" t="s">
        <v>364</v>
      </c>
      <c r="L56" s="46" t="s">
        <v>357</v>
      </c>
      <c r="M56" s="46" t="s">
        <v>358</v>
      </c>
      <c r="N56" s="46" t="s">
        <v>359</v>
      </c>
      <c r="O56" s="46">
        <v>0</v>
      </c>
      <c r="P56" s="46">
        <v>3</v>
      </c>
      <c r="Q56" s="46">
        <v>0.7</v>
      </c>
      <c r="R56" s="46">
        <v>49100</v>
      </c>
      <c r="S56" s="46" t="s">
        <v>267</v>
      </c>
      <c r="T56" s="46" t="s">
        <v>309</v>
      </c>
      <c r="U56" s="46" t="s">
        <v>309</v>
      </c>
    </row>
    <row r="57" spans="1:21">
      <c r="A57" s="46">
        <v>49119</v>
      </c>
      <c r="B57" s="46">
        <v>49100</v>
      </c>
      <c r="C57" s="46" t="s">
        <v>355</v>
      </c>
      <c r="D57" s="46">
        <v>3</v>
      </c>
      <c r="E57" s="46">
        <v>0</v>
      </c>
      <c r="F57" s="55">
        <v>200</v>
      </c>
      <c r="G57" s="46">
        <v>16</v>
      </c>
      <c r="H57" s="46">
        <v>4</v>
      </c>
      <c r="I57" s="46" t="s">
        <v>362</v>
      </c>
      <c r="J57" s="46" t="s">
        <v>363</v>
      </c>
      <c r="K57" s="46" t="s">
        <v>364</v>
      </c>
      <c r="L57" s="46" t="s">
        <v>357</v>
      </c>
      <c r="M57" s="46" t="s">
        <v>358</v>
      </c>
      <c r="N57" s="46" t="s">
        <v>359</v>
      </c>
      <c r="O57" s="46">
        <v>0</v>
      </c>
      <c r="P57" s="46">
        <v>3.5</v>
      </c>
      <c r="Q57" s="46">
        <v>0.9</v>
      </c>
      <c r="R57" s="46">
        <v>49100</v>
      </c>
      <c r="S57" s="46" t="s">
        <v>267</v>
      </c>
      <c r="T57" s="46" t="s">
        <v>309</v>
      </c>
      <c r="U57" s="46" t="s">
        <v>309</v>
      </c>
    </row>
    <row r="58" spans="1:21">
      <c r="A58" s="46">
        <v>49120</v>
      </c>
      <c r="B58" s="46">
        <v>49100</v>
      </c>
      <c r="C58" s="46" t="s">
        <v>355</v>
      </c>
      <c r="D58" s="46">
        <v>3</v>
      </c>
      <c r="E58" s="46">
        <v>1</v>
      </c>
      <c r="F58" s="55">
        <v>200</v>
      </c>
      <c r="G58" s="46">
        <v>16</v>
      </c>
      <c r="H58" s="46">
        <v>4</v>
      </c>
      <c r="I58" s="46" t="s">
        <v>362</v>
      </c>
      <c r="J58" s="46" t="s">
        <v>363</v>
      </c>
      <c r="K58" s="46" t="s">
        <v>364</v>
      </c>
      <c r="L58" s="46" t="s">
        <v>357</v>
      </c>
      <c r="M58" s="46" t="s">
        <v>358</v>
      </c>
      <c r="N58" s="46" t="s">
        <v>359</v>
      </c>
      <c r="O58" s="46">
        <v>0</v>
      </c>
      <c r="P58" s="46">
        <v>3.5</v>
      </c>
      <c r="Q58" s="46">
        <v>0.9</v>
      </c>
      <c r="R58" s="46">
        <v>49100</v>
      </c>
      <c r="S58" s="46" t="s">
        <v>267</v>
      </c>
      <c r="T58" s="46" t="s">
        <v>309</v>
      </c>
      <c r="U58" s="46" t="s">
        <v>309</v>
      </c>
    </row>
    <row r="59" spans="1:21">
      <c r="A59" s="46">
        <v>49121</v>
      </c>
      <c r="B59" s="46">
        <v>49100</v>
      </c>
      <c r="C59" s="46" t="s">
        <v>355</v>
      </c>
      <c r="D59" s="46">
        <v>3</v>
      </c>
      <c r="E59" s="46">
        <v>2</v>
      </c>
      <c r="F59" s="55">
        <v>200</v>
      </c>
      <c r="G59" s="46">
        <v>16</v>
      </c>
      <c r="H59" s="46">
        <v>4</v>
      </c>
      <c r="I59" s="46" t="s">
        <v>362</v>
      </c>
      <c r="J59" s="46" t="s">
        <v>363</v>
      </c>
      <c r="K59" s="46" t="s">
        <v>364</v>
      </c>
      <c r="L59" s="46" t="s">
        <v>357</v>
      </c>
      <c r="M59" s="46" t="s">
        <v>358</v>
      </c>
      <c r="N59" s="46" t="s">
        <v>359</v>
      </c>
      <c r="O59" s="46">
        <v>0</v>
      </c>
      <c r="P59" s="46">
        <v>3.5</v>
      </c>
      <c r="Q59" s="46">
        <v>0.9</v>
      </c>
      <c r="R59" s="46">
        <v>49100</v>
      </c>
      <c r="S59" s="46" t="s">
        <v>267</v>
      </c>
      <c r="T59" s="46" t="s">
        <v>309</v>
      </c>
      <c r="U59" s="46" t="s">
        <v>309</v>
      </c>
    </row>
    <row r="60" spans="1:21">
      <c r="A60" s="46">
        <v>49122</v>
      </c>
      <c r="B60" s="46">
        <v>49100</v>
      </c>
      <c r="C60" s="46" t="s">
        <v>355</v>
      </c>
      <c r="D60" s="46">
        <v>3</v>
      </c>
      <c r="E60" s="46">
        <v>3</v>
      </c>
      <c r="F60" s="55">
        <v>200</v>
      </c>
      <c r="G60" s="46">
        <v>16</v>
      </c>
      <c r="H60" s="46">
        <v>4</v>
      </c>
      <c r="I60" s="46" t="s">
        <v>362</v>
      </c>
      <c r="J60" s="46" t="s">
        <v>363</v>
      </c>
      <c r="K60" s="46" t="s">
        <v>364</v>
      </c>
      <c r="L60" s="46" t="s">
        <v>357</v>
      </c>
      <c r="M60" s="46" t="s">
        <v>358</v>
      </c>
      <c r="N60" s="46" t="s">
        <v>359</v>
      </c>
      <c r="O60" s="46">
        <v>0</v>
      </c>
      <c r="P60" s="46">
        <v>3.5</v>
      </c>
      <c r="Q60" s="46">
        <v>0.9</v>
      </c>
      <c r="R60" s="46">
        <v>49100</v>
      </c>
      <c r="S60" s="46" t="s">
        <v>267</v>
      </c>
      <c r="T60" s="46" t="s">
        <v>309</v>
      </c>
      <c r="U60" s="46" t="s">
        <v>309</v>
      </c>
    </row>
    <row r="61" spans="1:21">
      <c r="A61" s="46">
        <v>49123</v>
      </c>
      <c r="B61" s="46">
        <v>49100</v>
      </c>
      <c r="C61" s="46" t="s">
        <v>355</v>
      </c>
      <c r="D61" s="46">
        <v>3</v>
      </c>
      <c r="E61" s="46">
        <v>4</v>
      </c>
      <c r="F61" s="55">
        <v>200</v>
      </c>
      <c r="G61" s="46">
        <v>16</v>
      </c>
      <c r="H61" s="46">
        <v>4</v>
      </c>
      <c r="I61" s="46" t="s">
        <v>362</v>
      </c>
      <c r="J61" s="46" t="s">
        <v>363</v>
      </c>
      <c r="K61" s="46" t="s">
        <v>364</v>
      </c>
      <c r="L61" s="46" t="s">
        <v>357</v>
      </c>
      <c r="M61" s="46" t="s">
        <v>358</v>
      </c>
      <c r="N61" s="46" t="s">
        <v>359</v>
      </c>
      <c r="O61" s="46">
        <v>0</v>
      </c>
      <c r="P61" s="46">
        <v>3.5</v>
      </c>
      <c r="Q61" s="46">
        <v>0.9</v>
      </c>
      <c r="R61" s="46">
        <v>49100</v>
      </c>
      <c r="S61" s="46" t="s">
        <v>267</v>
      </c>
      <c r="T61" s="46" t="s">
        <v>309</v>
      </c>
      <c r="U61" s="46" t="s">
        <v>309</v>
      </c>
    </row>
    <row r="62" spans="1:21">
      <c r="A62" s="46">
        <v>49124</v>
      </c>
      <c r="B62" s="46">
        <v>49100</v>
      </c>
      <c r="C62" s="46" t="s">
        <v>355</v>
      </c>
      <c r="D62" s="46">
        <v>3</v>
      </c>
      <c r="E62" s="46">
        <v>5</v>
      </c>
      <c r="F62" s="55">
        <v>50</v>
      </c>
      <c r="G62" s="46">
        <v>16</v>
      </c>
      <c r="H62" s="46">
        <v>5</v>
      </c>
      <c r="I62" s="46" t="s">
        <v>362</v>
      </c>
      <c r="J62" s="46" t="s">
        <v>363</v>
      </c>
      <c r="K62" s="46" t="s">
        <v>364</v>
      </c>
      <c r="L62" s="46" t="s">
        <v>357</v>
      </c>
      <c r="M62" s="46" t="s">
        <v>358</v>
      </c>
      <c r="N62" s="46" t="s">
        <v>359</v>
      </c>
      <c r="O62" s="46">
        <v>0</v>
      </c>
      <c r="P62" s="46">
        <v>3.5</v>
      </c>
      <c r="Q62" s="46">
        <v>0.9</v>
      </c>
      <c r="R62" s="46">
        <v>49100</v>
      </c>
      <c r="S62" s="46" t="s">
        <v>267</v>
      </c>
      <c r="T62" s="46" t="s">
        <v>309</v>
      </c>
      <c r="U62" s="46" t="s">
        <v>309</v>
      </c>
    </row>
    <row r="63" spans="1:21">
      <c r="A63" s="46">
        <v>49125</v>
      </c>
      <c r="B63" s="46">
        <v>49100</v>
      </c>
      <c r="C63" s="46" t="s">
        <v>355</v>
      </c>
      <c r="D63" s="46">
        <v>4</v>
      </c>
      <c r="E63" s="46">
        <v>0</v>
      </c>
      <c r="F63" s="55">
        <v>400</v>
      </c>
      <c r="G63" s="46">
        <v>24</v>
      </c>
      <c r="H63" s="46">
        <v>5</v>
      </c>
      <c r="I63" s="46" t="s">
        <v>362</v>
      </c>
      <c r="J63" s="46" t="s">
        <v>363</v>
      </c>
      <c r="K63" s="46" t="s">
        <v>364</v>
      </c>
      <c r="L63" s="46" t="s">
        <v>357</v>
      </c>
      <c r="M63" s="46" t="s">
        <v>358</v>
      </c>
      <c r="N63" s="46" t="s">
        <v>359</v>
      </c>
      <c r="O63" s="46">
        <v>0</v>
      </c>
      <c r="P63" s="46">
        <v>4</v>
      </c>
      <c r="Q63" s="46">
        <v>1.2</v>
      </c>
      <c r="R63" s="46">
        <v>49100</v>
      </c>
      <c r="S63" s="46" t="s">
        <v>267</v>
      </c>
      <c r="T63" s="46" t="s">
        <v>309</v>
      </c>
      <c r="U63" s="46" t="s">
        <v>309</v>
      </c>
    </row>
    <row r="64" spans="1:21">
      <c r="A64" s="46">
        <v>49126</v>
      </c>
      <c r="B64" s="46">
        <v>49100</v>
      </c>
      <c r="C64" s="46" t="s">
        <v>355</v>
      </c>
      <c r="D64" s="46">
        <v>4</v>
      </c>
      <c r="E64" s="46">
        <v>1</v>
      </c>
      <c r="F64" s="55">
        <v>400</v>
      </c>
      <c r="G64" s="46">
        <v>24</v>
      </c>
      <c r="H64" s="46">
        <v>5</v>
      </c>
      <c r="I64" s="46" t="s">
        <v>362</v>
      </c>
      <c r="J64" s="46" t="s">
        <v>363</v>
      </c>
      <c r="K64" s="46" t="s">
        <v>364</v>
      </c>
      <c r="L64" s="46" t="s">
        <v>357</v>
      </c>
      <c r="M64" s="46" t="s">
        <v>358</v>
      </c>
      <c r="N64" s="46" t="s">
        <v>359</v>
      </c>
      <c r="O64" s="46">
        <v>0</v>
      </c>
      <c r="P64" s="46">
        <v>4</v>
      </c>
      <c r="Q64" s="46">
        <v>1.2</v>
      </c>
      <c r="R64" s="46">
        <v>49100</v>
      </c>
      <c r="S64" s="46" t="s">
        <v>267</v>
      </c>
      <c r="T64" s="46" t="s">
        <v>309</v>
      </c>
      <c r="U64" s="46" t="s">
        <v>309</v>
      </c>
    </row>
    <row r="65" spans="1:21">
      <c r="A65" s="46">
        <v>49127</v>
      </c>
      <c r="B65" s="46">
        <v>49100</v>
      </c>
      <c r="C65" s="46" t="s">
        <v>355</v>
      </c>
      <c r="D65" s="46">
        <v>4</v>
      </c>
      <c r="E65" s="46">
        <v>2</v>
      </c>
      <c r="F65" s="55">
        <v>400</v>
      </c>
      <c r="G65" s="46">
        <v>24</v>
      </c>
      <c r="H65" s="46">
        <v>5</v>
      </c>
      <c r="I65" s="46" t="s">
        <v>362</v>
      </c>
      <c r="J65" s="46" t="s">
        <v>363</v>
      </c>
      <c r="K65" s="46" t="s">
        <v>364</v>
      </c>
      <c r="L65" s="46" t="s">
        <v>357</v>
      </c>
      <c r="M65" s="46" t="s">
        <v>358</v>
      </c>
      <c r="N65" s="46" t="s">
        <v>359</v>
      </c>
      <c r="O65" s="46">
        <v>0</v>
      </c>
      <c r="P65" s="46">
        <v>4</v>
      </c>
      <c r="Q65" s="46">
        <v>1.2</v>
      </c>
      <c r="R65" s="46">
        <v>49100</v>
      </c>
      <c r="S65" s="46" t="s">
        <v>267</v>
      </c>
      <c r="T65" s="46" t="s">
        <v>309</v>
      </c>
      <c r="U65" s="46" t="s">
        <v>309</v>
      </c>
    </row>
    <row r="66" spans="1:21">
      <c r="A66" s="46">
        <v>49128</v>
      </c>
      <c r="B66" s="46">
        <v>49100</v>
      </c>
      <c r="C66" s="46" t="s">
        <v>355</v>
      </c>
      <c r="D66" s="46">
        <v>4</v>
      </c>
      <c r="E66" s="46">
        <v>3</v>
      </c>
      <c r="F66" s="55">
        <v>400</v>
      </c>
      <c r="G66" s="46">
        <v>24</v>
      </c>
      <c r="H66" s="46">
        <v>5</v>
      </c>
      <c r="I66" s="46" t="s">
        <v>362</v>
      </c>
      <c r="J66" s="46" t="s">
        <v>363</v>
      </c>
      <c r="K66" s="46" t="s">
        <v>364</v>
      </c>
      <c r="L66" s="46" t="s">
        <v>357</v>
      </c>
      <c r="M66" s="46" t="s">
        <v>358</v>
      </c>
      <c r="N66" s="46" t="s">
        <v>359</v>
      </c>
      <c r="O66" s="46">
        <v>0</v>
      </c>
      <c r="P66" s="46">
        <v>4</v>
      </c>
      <c r="Q66" s="46">
        <v>1.2</v>
      </c>
      <c r="R66" s="46">
        <v>49100</v>
      </c>
      <c r="S66" s="46" t="s">
        <v>267</v>
      </c>
      <c r="T66" s="46" t="s">
        <v>309</v>
      </c>
      <c r="U66" s="46" t="s">
        <v>309</v>
      </c>
    </row>
    <row r="67" spans="1:21">
      <c r="A67" s="46">
        <v>49129</v>
      </c>
      <c r="B67" s="46">
        <v>49100</v>
      </c>
      <c r="C67" s="46" t="s">
        <v>355</v>
      </c>
      <c r="D67" s="46">
        <v>4</v>
      </c>
      <c r="E67" s="46">
        <v>4</v>
      </c>
      <c r="F67" s="55">
        <v>400</v>
      </c>
      <c r="G67" s="46">
        <v>24</v>
      </c>
      <c r="H67" s="46">
        <v>5</v>
      </c>
      <c r="I67" s="46" t="s">
        <v>362</v>
      </c>
      <c r="J67" s="46" t="s">
        <v>363</v>
      </c>
      <c r="K67" s="46" t="s">
        <v>364</v>
      </c>
      <c r="L67" s="46" t="s">
        <v>357</v>
      </c>
      <c r="M67" s="46" t="s">
        <v>358</v>
      </c>
      <c r="N67" s="46" t="s">
        <v>359</v>
      </c>
      <c r="O67" s="46">
        <v>0</v>
      </c>
      <c r="P67" s="46">
        <v>4</v>
      </c>
      <c r="Q67" s="46">
        <v>1.2</v>
      </c>
      <c r="R67" s="46">
        <v>49100</v>
      </c>
      <c r="S67" s="46" t="s">
        <v>267</v>
      </c>
      <c r="T67" s="46" t="s">
        <v>309</v>
      </c>
      <c r="U67" s="46" t="s">
        <v>309</v>
      </c>
    </row>
    <row r="68" spans="1:21">
      <c r="A68" s="46">
        <v>49130</v>
      </c>
      <c r="B68" s="46">
        <v>49100</v>
      </c>
      <c r="C68" s="46" t="s">
        <v>355</v>
      </c>
      <c r="D68" s="46">
        <v>4</v>
      </c>
      <c r="E68" s="46">
        <v>5</v>
      </c>
      <c r="F68" s="55">
        <v>300</v>
      </c>
      <c r="G68" s="46">
        <v>48</v>
      </c>
      <c r="H68" s="46">
        <v>6</v>
      </c>
      <c r="I68" s="46" t="s">
        <v>362</v>
      </c>
      <c r="J68" s="46" t="s">
        <v>363</v>
      </c>
      <c r="K68" s="46" t="s">
        <v>364</v>
      </c>
      <c r="L68" s="46" t="s">
        <v>357</v>
      </c>
      <c r="M68" s="46" t="s">
        <v>358</v>
      </c>
      <c r="N68" s="46" t="s">
        <v>359</v>
      </c>
      <c r="O68" s="46">
        <v>0</v>
      </c>
      <c r="P68" s="46">
        <v>4</v>
      </c>
      <c r="Q68" s="46">
        <v>1.2</v>
      </c>
      <c r="R68" s="46">
        <v>49100</v>
      </c>
      <c r="S68" s="46" t="s">
        <v>267</v>
      </c>
      <c r="T68" s="46" t="s">
        <v>309</v>
      </c>
      <c r="U68" s="46" t="s">
        <v>309</v>
      </c>
    </row>
    <row r="69" spans="1:21">
      <c r="A69" s="46">
        <v>49131</v>
      </c>
      <c r="B69" s="46">
        <v>49100</v>
      </c>
      <c r="C69" s="46" t="s">
        <v>355</v>
      </c>
      <c r="D69" s="46">
        <v>5</v>
      </c>
      <c r="E69" s="46">
        <v>0</v>
      </c>
      <c r="F69" s="55">
        <v>800</v>
      </c>
      <c r="G69" s="46">
        <v>48</v>
      </c>
      <c r="H69" s="46">
        <v>6</v>
      </c>
      <c r="I69" s="46" t="s">
        <v>362</v>
      </c>
      <c r="J69" s="46" t="s">
        <v>363</v>
      </c>
      <c r="K69" s="46" t="s">
        <v>364</v>
      </c>
      <c r="L69" s="46" t="s">
        <v>357</v>
      </c>
      <c r="M69" s="46" t="s">
        <v>358</v>
      </c>
      <c r="N69" s="46" t="s">
        <v>359</v>
      </c>
      <c r="O69" s="46">
        <v>0</v>
      </c>
      <c r="P69" s="46">
        <v>5</v>
      </c>
      <c r="Q69" s="46">
        <v>1.5</v>
      </c>
      <c r="R69" s="46">
        <v>49100</v>
      </c>
      <c r="S69" s="46" t="s">
        <v>267</v>
      </c>
      <c r="T69" s="46" t="s">
        <v>309</v>
      </c>
      <c r="U69" s="46" t="s">
        <v>309</v>
      </c>
    </row>
    <row r="70" spans="1:21">
      <c r="A70" s="46">
        <v>49132</v>
      </c>
      <c r="B70" s="46">
        <v>49100</v>
      </c>
      <c r="C70" s="46" t="s">
        <v>355</v>
      </c>
      <c r="D70" s="46">
        <v>5</v>
      </c>
      <c r="E70" s="46">
        <v>1</v>
      </c>
      <c r="F70" s="55">
        <v>800</v>
      </c>
      <c r="G70" s="46">
        <v>48</v>
      </c>
      <c r="H70" s="46">
        <v>6</v>
      </c>
      <c r="I70" s="46" t="s">
        <v>362</v>
      </c>
      <c r="J70" s="46" t="s">
        <v>363</v>
      </c>
      <c r="K70" s="46" t="s">
        <v>364</v>
      </c>
      <c r="L70" s="46" t="s">
        <v>357</v>
      </c>
      <c r="M70" s="46" t="s">
        <v>358</v>
      </c>
      <c r="N70" s="46" t="s">
        <v>359</v>
      </c>
      <c r="O70" s="46">
        <v>0</v>
      </c>
      <c r="P70" s="46">
        <v>5</v>
      </c>
      <c r="Q70" s="46">
        <v>1.5</v>
      </c>
      <c r="R70" s="46">
        <v>49100</v>
      </c>
      <c r="S70" s="46" t="s">
        <v>267</v>
      </c>
      <c r="T70" s="46" t="s">
        <v>309</v>
      </c>
      <c r="U70" s="46" t="s">
        <v>309</v>
      </c>
    </row>
    <row r="71" spans="1:21">
      <c r="A71" s="46">
        <v>49133</v>
      </c>
      <c r="B71" s="46">
        <v>49100</v>
      </c>
      <c r="C71" s="46" t="s">
        <v>355</v>
      </c>
      <c r="D71" s="46">
        <v>5</v>
      </c>
      <c r="E71" s="46">
        <v>2</v>
      </c>
      <c r="F71" s="55">
        <v>800</v>
      </c>
      <c r="G71" s="46">
        <v>48</v>
      </c>
      <c r="H71" s="46">
        <v>6</v>
      </c>
      <c r="I71" s="46" t="s">
        <v>362</v>
      </c>
      <c r="J71" s="46" t="s">
        <v>363</v>
      </c>
      <c r="K71" s="46" t="s">
        <v>364</v>
      </c>
      <c r="L71" s="46" t="s">
        <v>357</v>
      </c>
      <c r="M71" s="46" t="s">
        <v>358</v>
      </c>
      <c r="N71" s="46" t="s">
        <v>359</v>
      </c>
      <c r="O71" s="46">
        <v>0</v>
      </c>
      <c r="P71" s="46">
        <v>5</v>
      </c>
      <c r="Q71" s="46">
        <v>1.5</v>
      </c>
      <c r="R71" s="46">
        <v>49100</v>
      </c>
      <c r="S71" s="46" t="s">
        <v>267</v>
      </c>
      <c r="T71" s="46" t="s">
        <v>309</v>
      </c>
      <c r="U71" s="46" t="s">
        <v>309</v>
      </c>
    </row>
    <row r="72" spans="1:21">
      <c r="A72" s="46">
        <v>49134</v>
      </c>
      <c r="B72" s="46">
        <v>49100</v>
      </c>
      <c r="C72" s="46" t="s">
        <v>355</v>
      </c>
      <c r="D72" s="46">
        <v>5</v>
      </c>
      <c r="E72" s="46">
        <v>3</v>
      </c>
      <c r="F72" s="55">
        <v>800</v>
      </c>
      <c r="G72" s="46">
        <v>48</v>
      </c>
      <c r="H72" s="46">
        <v>6</v>
      </c>
      <c r="I72" s="46" t="s">
        <v>362</v>
      </c>
      <c r="J72" s="46" t="s">
        <v>363</v>
      </c>
      <c r="K72" s="46" t="s">
        <v>364</v>
      </c>
      <c r="L72" s="46" t="s">
        <v>357</v>
      </c>
      <c r="M72" s="46" t="s">
        <v>358</v>
      </c>
      <c r="N72" s="46" t="s">
        <v>359</v>
      </c>
      <c r="O72" s="46">
        <v>0</v>
      </c>
      <c r="P72" s="46">
        <v>5</v>
      </c>
      <c r="Q72" s="46">
        <v>1.5</v>
      </c>
      <c r="R72" s="46">
        <v>49100</v>
      </c>
      <c r="S72" s="46" t="s">
        <v>267</v>
      </c>
      <c r="T72" s="46" t="s">
        <v>309</v>
      </c>
      <c r="U72" s="46" t="s">
        <v>309</v>
      </c>
    </row>
    <row r="73" spans="1:21">
      <c r="A73" s="46">
        <v>49135</v>
      </c>
      <c r="B73" s="46">
        <v>49100</v>
      </c>
      <c r="C73" s="46" t="s">
        <v>355</v>
      </c>
      <c r="D73" s="46">
        <v>5</v>
      </c>
      <c r="E73" s="46">
        <v>4</v>
      </c>
      <c r="F73" s="55">
        <v>800</v>
      </c>
      <c r="G73" s="46">
        <v>48</v>
      </c>
      <c r="H73" s="46">
        <v>6</v>
      </c>
      <c r="I73" s="46" t="s">
        <v>362</v>
      </c>
      <c r="J73" s="46" t="s">
        <v>363</v>
      </c>
      <c r="K73" s="46" t="s">
        <v>364</v>
      </c>
      <c r="L73" s="46" t="s">
        <v>357</v>
      </c>
      <c r="M73" s="46" t="s">
        <v>358</v>
      </c>
      <c r="N73" s="46" t="s">
        <v>359</v>
      </c>
      <c r="O73" s="46">
        <v>0</v>
      </c>
      <c r="P73" s="46">
        <v>5</v>
      </c>
      <c r="Q73" s="46">
        <v>1.5</v>
      </c>
      <c r="R73" s="46">
        <v>49100</v>
      </c>
      <c r="S73" s="46" t="s">
        <v>267</v>
      </c>
      <c r="T73" s="46" t="s">
        <v>309</v>
      </c>
      <c r="U73" s="46" t="s">
        <v>309</v>
      </c>
    </row>
    <row r="74" spans="1:21">
      <c r="A74" s="46">
        <v>49136</v>
      </c>
      <c r="B74" s="46">
        <v>49100</v>
      </c>
      <c r="C74" s="46" t="s">
        <v>355</v>
      </c>
      <c r="D74" s="46">
        <v>5</v>
      </c>
      <c r="E74" s="46">
        <v>5</v>
      </c>
      <c r="F74" s="55">
        <v>0</v>
      </c>
      <c r="G74" s="46">
        <v>0</v>
      </c>
      <c r="H74" s="46">
        <v>6</v>
      </c>
      <c r="I74" s="46" t="s">
        <v>362</v>
      </c>
      <c r="J74" s="46" t="s">
        <v>363</v>
      </c>
      <c r="K74" s="46" t="s">
        <v>364</v>
      </c>
      <c r="L74" s="46" t="s">
        <v>357</v>
      </c>
      <c r="M74" s="46" t="s">
        <v>358</v>
      </c>
      <c r="N74" s="46" t="s">
        <v>359</v>
      </c>
      <c r="O74" s="46">
        <v>0</v>
      </c>
      <c r="P74" s="46">
        <v>5</v>
      </c>
      <c r="Q74" s="46">
        <v>1.5</v>
      </c>
      <c r="R74" s="46">
        <v>49100</v>
      </c>
      <c r="S74" s="46" t="s">
        <v>267</v>
      </c>
      <c r="T74" s="46" t="s">
        <v>309</v>
      </c>
      <c r="U74" s="46" t="s">
        <v>309</v>
      </c>
    </row>
    <row r="75" spans="1:21">
      <c r="A75" s="46">
        <v>49201</v>
      </c>
      <c r="B75" s="46">
        <v>49200</v>
      </c>
      <c r="C75" s="46" t="s">
        <v>355</v>
      </c>
      <c r="D75" s="46">
        <v>0</v>
      </c>
      <c r="E75" s="46">
        <v>0</v>
      </c>
      <c r="F75" s="55">
        <v>20</v>
      </c>
      <c r="G75" s="46">
        <v>2</v>
      </c>
      <c r="H75" s="46">
        <v>3</v>
      </c>
      <c r="I75" s="46" t="s">
        <v>365</v>
      </c>
      <c r="J75" s="46" t="s">
        <v>366</v>
      </c>
      <c r="K75" s="46" t="s">
        <v>367</v>
      </c>
      <c r="L75" s="46" t="s">
        <v>357</v>
      </c>
      <c r="M75" s="46" t="s">
        <v>358</v>
      </c>
      <c r="N75" s="46" t="s">
        <v>359</v>
      </c>
      <c r="O75" s="46">
        <v>0</v>
      </c>
      <c r="P75" s="46">
        <v>4</v>
      </c>
      <c r="Q75" s="46">
        <v>100</v>
      </c>
      <c r="R75" s="46">
        <v>49200</v>
      </c>
      <c r="S75" s="46" t="s">
        <v>267</v>
      </c>
      <c r="T75" s="46" t="s">
        <v>309</v>
      </c>
      <c r="U75" s="46" t="s">
        <v>309</v>
      </c>
    </row>
    <row r="76" spans="1:21">
      <c r="A76" s="46">
        <v>49202</v>
      </c>
      <c r="B76" s="46">
        <v>49200</v>
      </c>
      <c r="C76" s="46" t="s">
        <v>355</v>
      </c>
      <c r="D76" s="46">
        <v>0</v>
      </c>
      <c r="E76" s="46">
        <v>1</v>
      </c>
      <c r="F76" s="55">
        <v>20</v>
      </c>
      <c r="G76" s="46">
        <v>2</v>
      </c>
      <c r="H76" s="46">
        <v>3</v>
      </c>
      <c r="I76" s="46" t="s">
        <v>365</v>
      </c>
      <c r="J76" s="46" t="s">
        <v>366</v>
      </c>
      <c r="K76" s="46" t="s">
        <v>367</v>
      </c>
      <c r="L76" s="46" t="s">
        <v>357</v>
      </c>
      <c r="M76" s="46" t="s">
        <v>358</v>
      </c>
      <c r="N76" s="46" t="s">
        <v>359</v>
      </c>
      <c r="O76" s="46">
        <v>0</v>
      </c>
      <c r="P76" s="46">
        <v>4</v>
      </c>
      <c r="Q76" s="46">
        <v>120</v>
      </c>
      <c r="R76" s="46">
        <v>49200</v>
      </c>
      <c r="S76" s="46" t="s">
        <v>267</v>
      </c>
      <c r="T76" s="46" t="s">
        <v>309</v>
      </c>
      <c r="U76" s="46" t="s">
        <v>309</v>
      </c>
    </row>
    <row r="77" spans="1:21">
      <c r="A77" s="46">
        <v>49203</v>
      </c>
      <c r="B77" s="46">
        <v>49200</v>
      </c>
      <c r="C77" s="46" t="s">
        <v>355</v>
      </c>
      <c r="D77" s="46">
        <v>0</v>
      </c>
      <c r="E77" s="46">
        <v>2</v>
      </c>
      <c r="F77" s="55">
        <v>20</v>
      </c>
      <c r="G77" s="46">
        <v>2</v>
      </c>
      <c r="H77" s="46">
        <v>3</v>
      </c>
      <c r="I77" s="46" t="s">
        <v>365</v>
      </c>
      <c r="J77" s="46" t="s">
        <v>366</v>
      </c>
      <c r="K77" s="46" t="s">
        <v>367</v>
      </c>
      <c r="L77" s="46" t="s">
        <v>357</v>
      </c>
      <c r="M77" s="46" t="s">
        <v>358</v>
      </c>
      <c r="N77" s="46" t="s">
        <v>359</v>
      </c>
      <c r="O77" s="46">
        <v>0</v>
      </c>
      <c r="P77" s="46">
        <v>4</v>
      </c>
      <c r="Q77" s="46">
        <v>140</v>
      </c>
      <c r="R77" s="46">
        <v>49200</v>
      </c>
      <c r="S77" s="46" t="s">
        <v>267</v>
      </c>
      <c r="T77" s="46" t="s">
        <v>309</v>
      </c>
      <c r="U77" s="46" t="s">
        <v>309</v>
      </c>
    </row>
    <row r="78" spans="1:21">
      <c r="A78" s="46">
        <v>49204</v>
      </c>
      <c r="B78" s="46">
        <v>49200</v>
      </c>
      <c r="C78" s="46" t="s">
        <v>355</v>
      </c>
      <c r="D78" s="46">
        <v>0</v>
      </c>
      <c r="E78" s="46">
        <v>3</v>
      </c>
      <c r="F78" s="55">
        <v>20</v>
      </c>
      <c r="G78" s="46">
        <v>2</v>
      </c>
      <c r="H78" s="46">
        <v>3</v>
      </c>
      <c r="I78" s="46" t="s">
        <v>365</v>
      </c>
      <c r="J78" s="46" t="s">
        <v>366</v>
      </c>
      <c r="K78" s="46" t="s">
        <v>367</v>
      </c>
      <c r="L78" s="46" t="s">
        <v>357</v>
      </c>
      <c r="M78" s="46" t="s">
        <v>358</v>
      </c>
      <c r="N78" s="46" t="s">
        <v>359</v>
      </c>
      <c r="O78" s="46">
        <v>0</v>
      </c>
      <c r="P78" s="46">
        <v>4</v>
      </c>
      <c r="Q78" s="46">
        <v>160</v>
      </c>
      <c r="R78" s="46">
        <v>49200</v>
      </c>
      <c r="S78" s="46" t="s">
        <v>267</v>
      </c>
      <c r="T78" s="46" t="s">
        <v>309</v>
      </c>
      <c r="U78" s="46" t="s">
        <v>309</v>
      </c>
    </row>
    <row r="79" spans="1:21">
      <c r="A79" s="46">
        <v>49205</v>
      </c>
      <c r="B79" s="46">
        <v>49200</v>
      </c>
      <c r="C79" s="46" t="s">
        <v>355</v>
      </c>
      <c r="D79" s="46">
        <v>0</v>
      </c>
      <c r="E79" s="46">
        <v>4</v>
      </c>
      <c r="F79" s="55">
        <v>20</v>
      </c>
      <c r="G79" s="46">
        <v>2</v>
      </c>
      <c r="H79" s="46">
        <v>3</v>
      </c>
      <c r="I79" s="46" t="s">
        <v>365</v>
      </c>
      <c r="J79" s="46" t="s">
        <v>366</v>
      </c>
      <c r="K79" s="46" t="s">
        <v>367</v>
      </c>
      <c r="L79" s="46" t="s">
        <v>357</v>
      </c>
      <c r="M79" s="46" t="s">
        <v>358</v>
      </c>
      <c r="N79" s="46" t="s">
        <v>359</v>
      </c>
      <c r="O79" s="46">
        <v>0</v>
      </c>
      <c r="P79" s="46">
        <v>4</v>
      </c>
      <c r="Q79" s="46">
        <v>180</v>
      </c>
      <c r="R79" s="46">
        <v>49200</v>
      </c>
      <c r="S79" s="46" t="s">
        <v>267</v>
      </c>
      <c r="T79" s="46" t="s">
        <v>309</v>
      </c>
      <c r="U79" s="46" t="s">
        <v>309</v>
      </c>
    </row>
    <row r="80" spans="1:21">
      <c r="A80" s="46">
        <v>49206</v>
      </c>
      <c r="B80" s="46">
        <v>49200</v>
      </c>
      <c r="C80" s="46" t="s">
        <v>355</v>
      </c>
      <c r="D80" s="46">
        <v>0</v>
      </c>
      <c r="E80" s="46">
        <v>5</v>
      </c>
      <c r="F80" s="55">
        <v>1</v>
      </c>
      <c r="G80" s="46">
        <v>2</v>
      </c>
      <c r="H80" s="46">
        <v>3</v>
      </c>
      <c r="I80" s="46" t="s">
        <v>365</v>
      </c>
      <c r="J80" s="46" t="s">
        <v>366</v>
      </c>
      <c r="K80" s="46" t="s">
        <v>367</v>
      </c>
      <c r="L80" s="46" t="s">
        <v>357</v>
      </c>
      <c r="M80" s="46" t="s">
        <v>358</v>
      </c>
      <c r="N80" s="46" t="s">
        <v>359</v>
      </c>
      <c r="O80" s="46">
        <v>0</v>
      </c>
      <c r="P80" s="46">
        <v>4</v>
      </c>
      <c r="Q80" s="46">
        <v>200</v>
      </c>
      <c r="R80" s="46">
        <v>49200</v>
      </c>
      <c r="S80" s="46" t="s">
        <v>267</v>
      </c>
      <c r="T80" s="46" t="s">
        <v>309</v>
      </c>
      <c r="U80" s="46" t="s">
        <v>309</v>
      </c>
    </row>
    <row r="81" spans="1:21">
      <c r="A81" s="46">
        <v>49207</v>
      </c>
      <c r="B81" s="46">
        <v>49200</v>
      </c>
      <c r="C81" s="46" t="s">
        <v>355</v>
      </c>
      <c r="D81" s="46">
        <v>1</v>
      </c>
      <c r="E81" s="46">
        <v>0</v>
      </c>
      <c r="F81" s="55">
        <v>50</v>
      </c>
      <c r="G81" s="46">
        <v>4</v>
      </c>
      <c r="H81" s="46">
        <v>3</v>
      </c>
      <c r="I81" s="46" t="s">
        <v>365</v>
      </c>
      <c r="J81" s="46" t="s">
        <v>366</v>
      </c>
      <c r="K81" s="46" t="s">
        <v>367</v>
      </c>
      <c r="L81" s="46" t="s">
        <v>357</v>
      </c>
      <c r="M81" s="46" t="s">
        <v>358</v>
      </c>
      <c r="N81" s="46" t="s">
        <v>359</v>
      </c>
      <c r="O81" s="46">
        <v>0</v>
      </c>
      <c r="P81" s="46">
        <v>5</v>
      </c>
      <c r="Q81" s="46">
        <v>220</v>
      </c>
      <c r="R81" s="46">
        <v>49200</v>
      </c>
      <c r="S81" s="46" t="s">
        <v>267</v>
      </c>
      <c r="T81" s="46" t="s">
        <v>309</v>
      </c>
      <c r="U81" s="46" t="s">
        <v>309</v>
      </c>
    </row>
    <row r="82" spans="1:21">
      <c r="A82" s="46">
        <v>49208</v>
      </c>
      <c r="B82" s="46">
        <v>49200</v>
      </c>
      <c r="C82" s="46" t="s">
        <v>355</v>
      </c>
      <c r="D82" s="46">
        <v>1</v>
      </c>
      <c r="E82" s="46">
        <v>1</v>
      </c>
      <c r="F82" s="55">
        <v>50</v>
      </c>
      <c r="G82" s="46">
        <v>4</v>
      </c>
      <c r="H82" s="46">
        <v>3</v>
      </c>
      <c r="I82" s="46" t="s">
        <v>365</v>
      </c>
      <c r="J82" s="46" t="s">
        <v>366</v>
      </c>
      <c r="K82" s="46" t="s">
        <v>367</v>
      </c>
      <c r="L82" s="46" t="s">
        <v>357</v>
      </c>
      <c r="M82" s="46" t="s">
        <v>358</v>
      </c>
      <c r="N82" s="46" t="s">
        <v>359</v>
      </c>
      <c r="O82" s="46">
        <v>0</v>
      </c>
      <c r="P82" s="46">
        <v>5</v>
      </c>
      <c r="Q82" s="46">
        <v>240</v>
      </c>
      <c r="R82" s="46">
        <v>49200</v>
      </c>
      <c r="S82" s="46" t="s">
        <v>267</v>
      </c>
      <c r="T82" s="46" t="s">
        <v>309</v>
      </c>
      <c r="U82" s="46" t="s">
        <v>309</v>
      </c>
    </row>
    <row r="83" spans="1:21">
      <c r="A83" s="46">
        <v>49209</v>
      </c>
      <c r="B83" s="46">
        <v>49200</v>
      </c>
      <c r="C83" s="46" t="s">
        <v>355</v>
      </c>
      <c r="D83" s="46">
        <v>1</v>
      </c>
      <c r="E83" s="46">
        <v>2</v>
      </c>
      <c r="F83" s="55">
        <v>50</v>
      </c>
      <c r="G83" s="46">
        <v>4</v>
      </c>
      <c r="H83" s="46">
        <v>3</v>
      </c>
      <c r="I83" s="46" t="s">
        <v>365</v>
      </c>
      <c r="J83" s="46" t="s">
        <v>366</v>
      </c>
      <c r="K83" s="46" t="s">
        <v>367</v>
      </c>
      <c r="L83" s="46" t="s">
        <v>357</v>
      </c>
      <c r="M83" s="46" t="s">
        <v>358</v>
      </c>
      <c r="N83" s="46" t="s">
        <v>359</v>
      </c>
      <c r="O83" s="46">
        <v>0</v>
      </c>
      <c r="P83" s="46">
        <v>5</v>
      </c>
      <c r="Q83" s="46">
        <v>260</v>
      </c>
      <c r="R83" s="46">
        <v>49200</v>
      </c>
      <c r="S83" s="46" t="s">
        <v>267</v>
      </c>
      <c r="T83" s="46" t="s">
        <v>309</v>
      </c>
      <c r="U83" s="46" t="s">
        <v>309</v>
      </c>
    </row>
    <row r="84" spans="1:21">
      <c r="A84" s="46">
        <v>49210</v>
      </c>
      <c r="B84" s="46">
        <v>49200</v>
      </c>
      <c r="C84" s="46" t="s">
        <v>355</v>
      </c>
      <c r="D84" s="46">
        <v>1</v>
      </c>
      <c r="E84" s="46">
        <v>3</v>
      </c>
      <c r="F84" s="55">
        <v>50</v>
      </c>
      <c r="G84" s="46">
        <v>4</v>
      </c>
      <c r="H84" s="46">
        <v>3</v>
      </c>
      <c r="I84" s="46" t="s">
        <v>365</v>
      </c>
      <c r="J84" s="46" t="s">
        <v>366</v>
      </c>
      <c r="K84" s="46" t="s">
        <v>367</v>
      </c>
      <c r="L84" s="46" t="s">
        <v>357</v>
      </c>
      <c r="M84" s="46" t="s">
        <v>358</v>
      </c>
      <c r="N84" s="46" t="s">
        <v>359</v>
      </c>
      <c r="O84" s="46">
        <v>0</v>
      </c>
      <c r="P84" s="46">
        <v>5</v>
      </c>
      <c r="Q84" s="46">
        <v>280</v>
      </c>
      <c r="R84" s="46">
        <v>49200</v>
      </c>
      <c r="S84" s="46" t="s">
        <v>267</v>
      </c>
      <c r="T84" s="46" t="s">
        <v>309</v>
      </c>
      <c r="U84" s="46" t="s">
        <v>309</v>
      </c>
    </row>
    <row r="85" spans="1:21">
      <c r="A85" s="46">
        <v>49211</v>
      </c>
      <c r="B85" s="46">
        <v>49200</v>
      </c>
      <c r="C85" s="46" t="s">
        <v>355</v>
      </c>
      <c r="D85" s="46">
        <v>1</v>
      </c>
      <c r="E85" s="46">
        <v>4</v>
      </c>
      <c r="F85" s="55">
        <v>50</v>
      </c>
      <c r="G85" s="46">
        <v>4</v>
      </c>
      <c r="H85" s="46">
        <v>3</v>
      </c>
      <c r="I85" s="46" t="s">
        <v>365</v>
      </c>
      <c r="J85" s="46" t="s">
        <v>366</v>
      </c>
      <c r="K85" s="46" t="s">
        <v>367</v>
      </c>
      <c r="L85" s="46" t="s">
        <v>357</v>
      </c>
      <c r="M85" s="46" t="s">
        <v>358</v>
      </c>
      <c r="N85" s="46" t="s">
        <v>359</v>
      </c>
      <c r="O85" s="46">
        <v>0</v>
      </c>
      <c r="P85" s="46">
        <v>5</v>
      </c>
      <c r="Q85" s="46">
        <v>300</v>
      </c>
      <c r="R85" s="46">
        <v>49200</v>
      </c>
      <c r="S85" s="46" t="s">
        <v>267</v>
      </c>
      <c r="T85" s="46" t="s">
        <v>309</v>
      </c>
      <c r="U85" s="46" t="s">
        <v>309</v>
      </c>
    </row>
    <row r="86" spans="1:21">
      <c r="A86" s="46">
        <v>49212</v>
      </c>
      <c r="B86" s="46">
        <v>49200</v>
      </c>
      <c r="C86" s="46" t="s">
        <v>355</v>
      </c>
      <c r="D86" s="46">
        <v>1</v>
      </c>
      <c r="E86" s="46">
        <v>5</v>
      </c>
      <c r="F86" s="55">
        <v>5</v>
      </c>
      <c r="G86" s="46">
        <v>4</v>
      </c>
      <c r="H86" s="46">
        <v>3</v>
      </c>
      <c r="I86" s="46" t="s">
        <v>365</v>
      </c>
      <c r="J86" s="46" t="s">
        <v>366</v>
      </c>
      <c r="K86" s="46" t="s">
        <v>367</v>
      </c>
      <c r="L86" s="46" t="s">
        <v>357</v>
      </c>
      <c r="M86" s="46" t="s">
        <v>358</v>
      </c>
      <c r="N86" s="46" t="s">
        <v>359</v>
      </c>
      <c r="O86" s="46">
        <v>0</v>
      </c>
      <c r="P86" s="46">
        <v>5</v>
      </c>
      <c r="Q86" s="46">
        <v>320</v>
      </c>
      <c r="R86" s="46">
        <v>49200</v>
      </c>
      <c r="S86" s="46" t="s">
        <v>267</v>
      </c>
      <c r="T86" s="46" t="s">
        <v>309</v>
      </c>
      <c r="U86" s="46" t="s">
        <v>309</v>
      </c>
    </row>
    <row r="87" spans="1:21">
      <c r="A87" s="46">
        <v>49213</v>
      </c>
      <c r="B87" s="46">
        <v>49200</v>
      </c>
      <c r="C87" s="46" t="s">
        <v>355</v>
      </c>
      <c r="D87" s="46">
        <v>2</v>
      </c>
      <c r="E87" s="46">
        <v>0</v>
      </c>
      <c r="F87" s="55">
        <v>100</v>
      </c>
      <c r="G87" s="46">
        <v>8</v>
      </c>
      <c r="H87" s="46">
        <v>3</v>
      </c>
      <c r="I87" s="46" t="s">
        <v>365</v>
      </c>
      <c r="J87" s="46" t="s">
        <v>366</v>
      </c>
      <c r="K87" s="46" t="s">
        <v>367</v>
      </c>
      <c r="L87" s="46" t="s">
        <v>357</v>
      </c>
      <c r="M87" s="46" t="s">
        <v>358</v>
      </c>
      <c r="N87" s="46" t="s">
        <v>359</v>
      </c>
      <c r="O87" s="46">
        <v>0</v>
      </c>
      <c r="P87" s="46">
        <v>6</v>
      </c>
      <c r="Q87" s="46">
        <v>340</v>
      </c>
      <c r="R87" s="46">
        <v>49200</v>
      </c>
      <c r="S87" s="46" t="s">
        <v>267</v>
      </c>
      <c r="T87" s="46" t="s">
        <v>309</v>
      </c>
      <c r="U87" s="46" t="s">
        <v>309</v>
      </c>
    </row>
    <row r="88" spans="1:21">
      <c r="A88" s="46">
        <v>49214</v>
      </c>
      <c r="B88" s="46">
        <v>49200</v>
      </c>
      <c r="C88" s="46" t="s">
        <v>355</v>
      </c>
      <c r="D88" s="46">
        <v>2</v>
      </c>
      <c r="E88" s="46">
        <v>1</v>
      </c>
      <c r="F88" s="55">
        <v>100</v>
      </c>
      <c r="G88" s="46">
        <v>8</v>
      </c>
      <c r="H88" s="46">
        <v>3</v>
      </c>
      <c r="I88" s="46" t="s">
        <v>365</v>
      </c>
      <c r="J88" s="46" t="s">
        <v>366</v>
      </c>
      <c r="K88" s="46" t="s">
        <v>367</v>
      </c>
      <c r="L88" s="46" t="s">
        <v>357</v>
      </c>
      <c r="M88" s="46" t="s">
        <v>358</v>
      </c>
      <c r="N88" s="46" t="s">
        <v>359</v>
      </c>
      <c r="O88" s="46">
        <v>0</v>
      </c>
      <c r="P88" s="46">
        <v>6</v>
      </c>
      <c r="Q88" s="46">
        <v>360</v>
      </c>
      <c r="R88" s="46">
        <v>49200</v>
      </c>
      <c r="S88" s="46" t="s">
        <v>267</v>
      </c>
      <c r="T88" s="46" t="s">
        <v>309</v>
      </c>
      <c r="U88" s="46" t="s">
        <v>309</v>
      </c>
    </row>
    <row r="89" spans="1:21">
      <c r="A89" s="46">
        <v>49215</v>
      </c>
      <c r="B89" s="46">
        <v>49200</v>
      </c>
      <c r="C89" s="46" t="s">
        <v>355</v>
      </c>
      <c r="D89" s="46">
        <v>2</v>
      </c>
      <c r="E89" s="46">
        <v>2</v>
      </c>
      <c r="F89" s="55">
        <v>100</v>
      </c>
      <c r="G89" s="46">
        <v>8</v>
      </c>
      <c r="H89" s="46">
        <v>3</v>
      </c>
      <c r="I89" s="46" t="s">
        <v>365</v>
      </c>
      <c r="J89" s="46" t="s">
        <v>366</v>
      </c>
      <c r="K89" s="46" t="s">
        <v>367</v>
      </c>
      <c r="L89" s="46" t="s">
        <v>357</v>
      </c>
      <c r="M89" s="46" t="s">
        <v>358</v>
      </c>
      <c r="N89" s="46" t="s">
        <v>359</v>
      </c>
      <c r="O89" s="46">
        <v>0</v>
      </c>
      <c r="P89" s="46">
        <v>6</v>
      </c>
      <c r="Q89" s="46">
        <v>380</v>
      </c>
      <c r="R89" s="46">
        <v>49200</v>
      </c>
      <c r="S89" s="46" t="s">
        <v>267</v>
      </c>
      <c r="T89" s="46" t="s">
        <v>309</v>
      </c>
      <c r="U89" s="46" t="s">
        <v>309</v>
      </c>
    </row>
    <row r="90" spans="1:21">
      <c r="A90" s="46">
        <v>49216</v>
      </c>
      <c r="B90" s="46">
        <v>49200</v>
      </c>
      <c r="C90" s="46" t="s">
        <v>355</v>
      </c>
      <c r="D90" s="46">
        <v>2</v>
      </c>
      <c r="E90" s="46">
        <v>3</v>
      </c>
      <c r="F90" s="55">
        <v>100</v>
      </c>
      <c r="G90" s="46">
        <v>8</v>
      </c>
      <c r="H90" s="46">
        <v>3</v>
      </c>
      <c r="I90" s="46" t="s">
        <v>365</v>
      </c>
      <c r="J90" s="46" t="s">
        <v>366</v>
      </c>
      <c r="K90" s="46" t="s">
        <v>367</v>
      </c>
      <c r="L90" s="46" t="s">
        <v>357</v>
      </c>
      <c r="M90" s="46" t="s">
        <v>358</v>
      </c>
      <c r="N90" s="46" t="s">
        <v>359</v>
      </c>
      <c r="O90" s="46">
        <v>0</v>
      </c>
      <c r="P90" s="46">
        <v>6</v>
      </c>
      <c r="Q90" s="46">
        <v>400</v>
      </c>
      <c r="R90" s="46">
        <v>49200</v>
      </c>
      <c r="S90" s="46" t="s">
        <v>267</v>
      </c>
      <c r="T90" s="46" t="s">
        <v>309</v>
      </c>
      <c r="U90" s="46" t="s">
        <v>309</v>
      </c>
    </row>
    <row r="91" spans="1:21">
      <c r="A91" s="46">
        <v>49217</v>
      </c>
      <c r="B91" s="46">
        <v>49200</v>
      </c>
      <c r="C91" s="46" t="s">
        <v>355</v>
      </c>
      <c r="D91" s="46">
        <v>2</v>
      </c>
      <c r="E91" s="46">
        <v>4</v>
      </c>
      <c r="F91" s="55">
        <v>100</v>
      </c>
      <c r="G91" s="46">
        <v>8</v>
      </c>
      <c r="H91" s="46">
        <v>3</v>
      </c>
      <c r="I91" s="46" t="s">
        <v>365</v>
      </c>
      <c r="J91" s="46" t="s">
        <v>366</v>
      </c>
      <c r="K91" s="46" t="s">
        <v>367</v>
      </c>
      <c r="L91" s="46" t="s">
        <v>357</v>
      </c>
      <c r="M91" s="46" t="s">
        <v>358</v>
      </c>
      <c r="N91" s="46" t="s">
        <v>359</v>
      </c>
      <c r="O91" s="46">
        <v>0</v>
      </c>
      <c r="P91" s="46">
        <v>6</v>
      </c>
      <c r="Q91" s="46">
        <v>420</v>
      </c>
      <c r="R91" s="46">
        <v>49200</v>
      </c>
      <c r="S91" s="46" t="s">
        <v>267</v>
      </c>
      <c r="T91" s="46" t="s">
        <v>309</v>
      </c>
      <c r="U91" s="46" t="s">
        <v>309</v>
      </c>
    </row>
    <row r="92" spans="1:21">
      <c r="A92" s="46">
        <v>49218</v>
      </c>
      <c r="B92" s="46">
        <v>49200</v>
      </c>
      <c r="C92" s="46" t="s">
        <v>355</v>
      </c>
      <c r="D92" s="46">
        <v>2</v>
      </c>
      <c r="E92" s="46">
        <v>5</v>
      </c>
      <c r="F92" s="55">
        <v>10</v>
      </c>
      <c r="G92" s="46">
        <v>8</v>
      </c>
      <c r="H92" s="46">
        <v>4</v>
      </c>
      <c r="I92" s="46" t="s">
        <v>365</v>
      </c>
      <c r="J92" s="46" t="s">
        <v>366</v>
      </c>
      <c r="K92" s="46" t="s">
        <v>367</v>
      </c>
      <c r="L92" s="46" t="s">
        <v>357</v>
      </c>
      <c r="M92" s="46" t="s">
        <v>358</v>
      </c>
      <c r="N92" s="46" t="s">
        <v>359</v>
      </c>
      <c r="O92" s="46">
        <v>0</v>
      </c>
      <c r="P92" s="46">
        <v>6</v>
      </c>
      <c r="Q92" s="46">
        <v>440</v>
      </c>
      <c r="R92" s="46">
        <v>49200</v>
      </c>
      <c r="S92" s="46" t="s">
        <v>267</v>
      </c>
      <c r="T92" s="46" t="s">
        <v>309</v>
      </c>
      <c r="U92" s="46" t="s">
        <v>309</v>
      </c>
    </row>
    <row r="93" spans="1:21">
      <c r="A93" s="46">
        <v>49219</v>
      </c>
      <c r="B93" s="46">
        <v>49200</v>
      </c>
      <c r="C93" s="46" t="s">
        <v>355</v>
      </c>
      <c r="D93" s="46">
        <v>3</v>
      </c>
      <c r="E93" s="46">
        <v>0</v>
      </c>
      <c r="F93" s="55">
        <v>200</v>
      </c>
      <c r="G93" s="46">
        <v>16</v>
      </c>
      <c r="H93" s="46">
        <v>4</v>
      </c>
      <c r="I93" s="46" t="s">
        <v>365</v>
      </c>
      <c r="J93" s="46" t="s">
        <v>366</v>
      </c>
      <c r="K93" s="46" t="s">
        <v>367</v>
      </c>
      <c r="L93" s="46" t="s">
        <v>357</v>
      </c>
      <c r="M93" s="46" t="s">
        <v>358</v>
      </c>
      <c r="N93" s="46" t="s">
        <v>359</v>
      </c>
      <c r="O93" s="46">
        <v>0</v>
      </c>
      <c r="P93" s="46">
        <v>7</v>
      </c>
      <c r="Q93" s="46">
        <v>460</v>
      </c>
      <c r="R93" s="46">
        <v>49200</v>
      </c>
      <c r="S93" s="46" t="s">
        <v>267</v>
      </c>
      <c r="T93" s="46" t="s">
        <v>309</v>
      </c>
      <c r="U93" s="46" t="s">
        <v>309</v>
      </c>
    </row>
    <row r="94" spans="1:21">
      <c r="A94" s="46">
        <v>49220</v>
      </c>
      <c r="B94" s="46">
        <v>49200</v>
      </c>
      <c r="C94" s="46" t="s">
        <v>355</v>
      </c>
      <c r="D94" s="46">
        <v>3</v>
      </c>
      <c r="E94" s="46">
        <v>1</v>
      </c>
      <c r="F94" s="55">
        <v>200</v>
      </c>
      <c r="G94" s="46">
        <v>16</v>
      </c>
      <c r="H94" s="46">
        <v>4</v>
      </c>
      <c r="I94" s="46" t="s">
        <v>365</v>
      </c>
      <c r="J94" s="46" t="s">
        <v>366</v>
      </c>
      <c r="K94" s="46" t="s">
        <v>367</v>
      </c>
      <c r="L94" s="46" t="s">
        <v>357</v>
      </c>
      <c r="M94" s="46" t="s">
        <v>358</v>
      </c>
      <c r="N94" s="46" t="s">
        <v>359</v>
      </c>
      <c r="O94" s="46">
        <v>0</v>
      </c>
      <c r="P94" s="46">
        <v>7</v>
      </c>
      <c r="Q94" s="46">
        <v>480</v>
      </c>
      <c r="R94" s="46">
        <v>49200</v>
      </c>
      <c r="S94" s="46" t="s">
        <v>267</v>
      </c>
      <c r="T94" s="46" t="s">
        <v>309</v>
      </c>
      <c r="U94" s="46" t="s">
        <v>309</v>
      </c>
    </row>
    <row r="95" spans="1:21">
      <c r="A95" s="46">
        <v>49221</v>
      </c>
      <c r="B95" s="46">
        <v>49200</v>
      </c>
      <c r="C95" s="46" t="s">
        <v>355</v>
      </c>
      <c r="D95" s="46">
        <v>3</v>
      </c>
      <c r="E95" s="46">
        <v>2</v>
      </c>
      <c r="F95" s="55">
        <v>200</v>
      </c>
      <c r="G95" s="46">
        <v>16</v>
      </c>
      <c r="H95" s="46">
        <v>4</v>
      </c>
      <c r="I95" s="46" t="s">
        <v>365</v>
      </c>
      <c r="J95" s="46" t="s">
        <v>366</v>
      </c>
      <c r="K95" s="46" t="s">
        <v>367</v>
      </c>
      <c r="L95" s="46" t="s">
        <v>357</v>
      </c>
      <c r="M95" s="46" t="s">
        <v>358</v>
      </c>
      <c r="N95" s="46" t="s">
        <v>359</v>
      </c>
      <c r="O95" s="46">
        <v>0</v>
      </c>
      <c r="P95" s="46">
        <v>7</v>
      </c>
      <c r="Q95" s="46">
        <v>500</v>
      </c>
      <c r="R95" s="46">
        <v>49200</v>
      </c>
      <c r="S95" s="46" t="s">
        <v>267</v>
      </c>
      <c r="T95" s="46" t="s">
        <v>309</v>
      </c>
      <c r="U95" s="46" t="s">
        <v>309</v>
      </c>
    </row>
    <row r="96" spans="1:21">
      <c r="A96" s="46">
        <v>49222</v>
      </c>
      <c r="B96" s="46">
        <v>49200</v>
      </c>
      <c r="C96" s="46" t="s">
        <v>355</v>
      </c>
      <c r="D96" s="46">
        <v>3</v>
      </c>
      <c r="E96" s="46">
        <v>3</v>
      </c>
      <c r="F96" s="55">
        <v>200</v>
      </c>
      <c r="G96" s="46">
        <v>16</v>
      </c>
      <c r="H96" s="46">
        <v>4</v>
      </c>
      <c r="I96" s="46" t="s">
        <v>365</v>
      </c>
      <c r="J96" s="46" t="s">
        <v>366</v>
      </c>
      <c r="K96" s="46" t="s">
        <v>367</v>
      </c>
      <c r="L96" s="46" t="s">
        <v>357</v>
      </c>
      <c r="M96" s="46" t="s">
        <v>358</v>
      </c>
      <c r="N96" s="46" t="s">
        <v>359</v>
      </c>
      <c r="O96" s="46">
        <v>0</v>
      </c>
      <c r="P96" s="46">
        <v>7</v>
      </c>
      <c r="Q96" s="46">
        <v>520</v>
      </c>
      <c r="R96" s="46">
        <v>49200</v>
      </c>
      <c r="S96" s="46" t="s">
        <v>267</v>
      </c>
      <c r="T96" s="46" t="s">
        <v>309</v>
      </c>
      <c r="U96" s="46" t="s">
        <v>309</v>
      </c>
    </row>
    <row r="97" spans="1:21">
      <c r="A97" s="46">
        <v>49223</v>
      </c>
      <c r="B97" s="46">
        <v>49200</v>
      </c>
      <c r="C97" s="46" t="s">
        <v>355</v>
      </c>
      <c r="D97" s="46">
        <v>3</v>
      </c>
      <c r="E97" s="46">
        <v>4</v>
      </c>
      <c r="F97" s="55">
        <v>200</v>
      </c>
      <c r="G97" s="46">
        <v>16</v>
      </c>
      <c r="H97" s="46">
        <v>4</v>
      </c>
      <c r="I97" s="46" t="s">
        <v>365</v>
      </c>
      <c r="J97" s="46" t="s">
        <v>366</v>
      </c>
      <c r="K97" s="46" t="s">
        <v>367</v>
      </c>
      <c r="L97" s="46" t="s">
        <v>357</v>
      </c>
      <c r="M97" s="46" t="s">
        <v>358</v>
      </c>
      <c r="N97" s="46" t="s">
        <v>359</v>
      </c>
      <c r="O97" s="46">
        <v>0</v>
      </c>
      <c r="P97" s="46">
        <v>7</v>
      </c>
      <c r="Q97" s="46">
        <v>540</v>
      </c>
      <c r="R97" s="46">
        <v>49200</v>
      </c>
      <c r="S97" s="46" t="s">
        <v>267</v>
      </c>
      <c r="T97" s="46" t="s">
        <v>309</v>
      </c>
      <c r="U97" s="46" t="s">
        <v>309</v>
      </c>
    </row>
    <row r="98" spans="1:21">
      <c r="A98" s="46">
        <v>49224</v>
      </c>
      <c r="B98" s="46">
        <v>49200</v>
      </c>
      <c r="C98" s="46" t="s">
        <v>355</v>
      </c>
      <c r="D98" s="46">
        <v>3</v>
      </c>
      <c r="E98" s="46">
        <v>5</v>
      </c>
      <c r="F98" s="55">
        <v>50</v>
      </c>
      <c r="G98" s="46">
        <v>16</v>
      </c>
      <c r="H98" s="46">
        <v>5</v>
      </c>
      <c r="I98" s="46" t="s">
        <v>365</v>
      </c>
      <c r="J98" s="46" t="s">
        <v>366</v>
      </c>
      <c r="K98" s="46" t="s">
        <v>367</v>
      </c>
      <c r="L98" s="46" t="s">
        <v>357</v>
      </c>
      <c r="M98" s="46" t="s">
        <v>358</v>
      </c>
      <c r="N98" s="46" t="s">
        <v>359</v>
      </c>
      <c r="O98" s="46">
        <v>0</v>
      </c>
      <c r="P98" s="46">
        <v>7</v>
      </c>
      <c r="Q98" s="46">
        <v>560</v>
      </c>
      <c r="R98" s="46">
        <v>49200</v>
      </c>
      <c r="S98" s="46" t="s">
        <v>267</v>
      </c>
      <c r="T98" s="46" t="s">
        <v>309</v>
      </c>
      <c r="U98" s="46" t="s">
        <v>309</v>
      </c>
    </row>
    <row r="99" spans="1:21">
      <c r="A99" s="46">
        <v>49225</v>
      </c>
      <c r="B99" s="46">
        <v>49200</v>
      </c>
      <c r="C99" s="46" t="s">
        <v>355</v>
      </c>
      <c r="D99" s="46">
        <v>4</v>
      </c>
      <c r="E99" s="46">
        <v>0</v>
      </c>
      <c r="F99" s="55">
        <v>400</v>
      </c>
      <c r="G99" s="46">
        <v>24</v>
      </c>
      <c r="H99" s="46">
        <v>5</v>
      </c>
      <c r="I99" s="46" t="s">
        <v>365</v>
      </c>
      <c r="J99" s="46" t="s">
        <v>366</v>
      </c>
      <c r="K99" s="46" t="s">
        <v>367</v>
      </c>
      <c r="L99" s="46" t="s">
        <v>357</v>
      </c>
      <c r="M99" s="46" t="s">
        <v>358</v>
      </c>
      <c r="N99" s="46" t="s">
        <v>359</v>
      </c>
      <c r="O99" s="46">
        <v>0</v>
      </c>
      <c r="P99" s="46">
        <v>8</v>
      </c>
      <c r="Q99" s="46">
        <v>580</v>
      </c>
      <c r="R99" s="46">
        <v>49200</v>
      </c>
      <c r="S99" s="46" t="s">
        <v>267</v>
      </c>
      <c r="T99" s="46" t="s">
        <v>309</v>
      </c>
      <c r="U99" s="46" t="s">
        <v>309</v>
      </c>
    </row>
    <row r="100" spans="1:21">
      <c r="A100" s="46">
        <v>49226</v>
      </c>
      <c r="B100" s="46">
        <v>49200</v>
      </c>
      <c r="C100" s="46" t="s">
        <v>355</v>
      </c>
      <c r="D100" s="46">
        <v>4</v>
      </c>
      <c r="E100" s="46">
        <v>1</v>
      </c>
      <c r="F100" s="55">
        <v>400</v>
      </c>
      <c r="G100" s="46">
        <v>24</v>
      </c>
      <c r="H100" s="46">
        <v>5</v>
      </c>
      <c r="I100" s="46" t="s">
        <v>365</v>
      </c>
      <c r="J100" s="46" t="s">
        <v>366</v>
      </c>
      <c r="K100" s="46" t="s">
        <v>367</v>
      </c>
      <c r="L100" s="46" t="s">
        <v>357</v>
      </c>
      <c r="M100" s="46" t="s">
        <v>358</v>
      </c>
      <c r="N100" s="46" t="s">
        <v>359</v>
      </c>
      <c r="O100" s="46">
        <v>0</v>
      </c>
      <c r="P100" s="46">
        <v>8</v>
      </c>
      <c r="Q100" s="46">
        <v>600</v>
      </c>
      <c r="R100" s="46">
        <v>49200</v>
      </c>
      <c r="S100" s="46" t="s">
        <v>267</v>
      </c>
      <c r="T100" s="46" t="s">
        <v>309</v>
      </c>
      <c r="U100" s="46" t="s">
        <v>309</v>
      </c>
    </row>
    <row r="101" spans="1:21">
      <c r="A101" s="46">
        <v>49227</v>
      </c>
      <c r="B101" s="46">
        <v>49200</v>
      </c>
      <c r="C101" s="46" t="s">
        <v>355</v>
      </c>
      <c r="D101" s="46">
        <v>4</v>
      </c>
      <c r="E101" s="46">
        <v>2</v>
      </c>
      <c r="F101" s="55">
        <v>400</v>
      </c>
      <c r="G101" s="46">
        <v>24</v>
      </c>
      <c r="H101" s="46">
        <v>5</v>
      </c>
      <c r="I101" s="46" t="s">
        <v>365</v>
      </c>
      <c r="J101" s="46" t="s">
        <v>366</v>
      </c>
      <c r="K101" s="46" t="s">
        <v>367</v>
      </c>
      <c r="L101" s="46" t="s">
        <v>357</v>
      </c>
      <c r="M101" s="46" t="s">
        <v>358</v>
      </c>
      <c r="N101" s="46" t="s">
        <v>359</v>
      </c>
      <c r="O101" s="46">
        <v>0</v>
      </c>
      <c r="P101" s="46">
        <v>8</v>
      </c>
      <c r="Q101" s="46">
        <v>620</v>
      </c>
      <c r="R101" s="46">
        <v>49200</v>
      </c>
      <c r="S101" s="46" t="s">
        <v>267</v>
      </c>
      <c r="T101" s="46" t="s">
        <v>309</v>
      </c>
      <c r="U101" s="46" t="s">
        <v>309</v>
      </c>
    </row>
    <row r="102" spans="1:21">
      <c r="A102" s="46">
        <v>49228</v>
      </c>
      <c r="B102" s="46">
        <v>49200</v>
      </c>
      <c r="C102" s="46" t="s">
        <v>355</v>
      </c>
      <c r="D102" s="46">
        <v>4</v>
      </c>
      <c r="E102" s="46">
        <v>3</v>
      </c>
      <c r="F102" s="55">
        <v>400</v>
      </c>
      <c r="G102" s="46">
        <v>24</v>
      </c>
      <c r="H102" s="46">
        <v>5</v>
      </c>
      <c r="I102" s="46" t="s">
        <v>365</v>
      </c>
      <c r="J102" s="46" t="s">
        <v>366</v>
      </c>
      <c r="K102" s="46" t="s">
        <v>367</v>
      </c>
      <c r="L102" s="46" t="s">
        <v>357</v>
      </c>
      <c r="M102" s="46" t="s">
        <v>358</v>
      </c>
      <c r="N102" s="46" t="s">
        <v>359</v>
      </c>
      <c r="O102" s="46">
        <v>0</v>
      </c>
      <c r="P102" s="46">
        <v>8</v>
      </c>
      <c r="Q102" s="46">
        <v>640</v>
      </c>
      <c r="R102" s="46">
        <v>49200</v>
      </c>
      <c r="S102" s="46" t="s">
        <v>267</v>
      </c>
      <c r="T102" s="46" t="s">
        <v>309</v>
      </c>
      <c r="U102" s="46" t="s">
        <v>309</v>
      </c>
    </row>
    <row r="103" spans="1:21">
      <c r="A103" s="46">
        <v>49229</v>
      </c>
      <c r="B103" s="46">
        <v>49200</v>
      </c>
      <c r="C103" s="46" t="s">
        <v>355</v>
      </c>
      <c r="D103" s="46">
        <v>4</v>
      </c>
      <c r="E103" s="46">
        <v>4</v>
      </c>
      <c r="F103" s="55">
        <v>400</v>
      </c>
      <c r="G103" s="46">
        <v>24</v>
      </c>
      <c r="H103" s="46">
        <v>5</v>
      </c>
      <c r="I103" s="46" t="s">
        <v>365</v>
      </c>
      <c r="J103" s="46" t="s">
        <v>366</v>
      </c>
      <c r="K103" s="46" t="s">
        <v>367</v>
      </c>
      <c r="L103" s="46" t="s">
        <v>357</v>
      </c>
      <c r="M103" s="46" t="s">
        <v>358</v>
      </c>
      <c r="N103" s="46" t="s">
        <v>359</v>
      </c>
      <c r="O103" s="46">
        <v>0</v>
      </c>
      <c r="P103" s="46">
        <v>8</v>
      </c>
      <c r="Q103" s="46">
        <v>660</v>
      </c>
      <c r="R103" s="46">
        <v>49200</v>
      </c>
      <c r="S103" s="46" t="s">
        <v>267</v>
      </c>
      <c r="T103" s="46" t="s">
        <v>309</v>
      </c>
      <c r="U103" s="46" t="s">
        <v>309</v>
      </c>
    </row>
    <row r="104" spans="1:21">
      <c r="A104" s="46">
        <v>49230</v>
      </c>
      <c r="B104" s="46">
        <v>49200</v>
      </c>
      <c r="C104" s="46" t="s">
        <v>355</v>
      </c>
      <c r="D104" s="46">
        <v>4</v>
      </c>
      <c r="E104" s="46">
        <v>5</v>
      </c>
      <c r="F104" s="55">
        <v>300</v>
      </c>
      <c r="G104" s="46">
        <v>48</v>
      </c>
      <c r="H104" s="46">
        <v>6</v>
      </c>
      <c r="I104" s="46" t="s">
        <v>365</v>
      </c>
      <c r="J104" s="46" t="s">
        <v>366</v>
      </c>
      <c r="K104" s="46" t="s">
        <v>367</v>
      </c>
      <c r="L104" s="46" t="s">
        <v>357</v>
      </c>
      <c r="M104" s="46" t="s">
        <v>358</v>
      </c>
      <c r="N104" s="46" t="s">
        <v>359</v>
      </c>
      <c r="O104" s="46">
        <v>0</v>
      </c>
      <c r="P104" s="46">
        <v>8</v>
      </c>
      <c r="Q104" s="46">
        <v>680</v>
      </c>
      <c r="R104" s="46">
        <v>49200</v>
      </c>
      <c r="S104" s="46" t="s">
        <v>267</v>
      </c>
      <c r="T104" s="46" t="s">
        <v>309</v>
      </c>
      <c r="U104" s="46" t="s">
        <v>309</v>
      </c>
    </row>
    <row r="105" spans="1:21">
      <c r="A105" s="46">
        <v>49231</v>
      </c>
      <c r="B105" s="46">
        <v>49200</v>
      </c>
      <c r="C105" s="46" t="s">
        <v>355</v>
      </c>
      <c r="D105" s="46">
        <v>5</v>
      </c>
      <c r="E105" s="46">
        <v>0</v>
      </c>
      <c r="F105" s="55">
        <v>800</v>
      </c>
      <c r="G105" s="46">
        <v>48</v>
      </c>
      <c r="H105" s="46">
        <v>6</v>
      </c>
      <c r="I105" s="46" t="s">
        <v>365</v>
      </c>
      <c r="J105" s="46" t="s">
        <v>366</v>
      </c>
      <c r="K105" s="46" t="s">
        <v>367</v>
      </c>
      <c r="L105" s="46" t="s">
        <v>357</v>
      </c>
      <c r="M105" s="46" t="s">
        <v>358</v>
      </c>
      <c r="N105" s="46" t="s">
        <v>359</v>
      </c>
      <c r="O105" s="46">
        <v>0</v>
      </c>
      <c r="P105" s="46">
        <v>9</v>
      </c>
      <c r="Q105" s="46">
        <v>700</v>
      </c>
      <c r="R105" s="46">
        <v>49200</v>
      </c>
      <c r="S105" s="46" t="s">
        <v>267</v>
      </c>
      <c r="T105" s="46" t="s">
        <v>309</v>
      </c>
      <c r="U105" s="46" t="s">
        <v>309</v>
      </c>
    </row>
    <row r="106" spans="1:21">
      <c r="A106" s="46">
        <v>49232</v>
      </c>
      <c r="B106" s="46">
        <v>49200</v>
      </c>
      <c r="C106" s="46" t="s">
        <v>355</v>
      </c>
      <c r="D106" s="46">
        <v>5</v>
      </c>
      <c r="E106" s="46">
        <v>1</v>
      </c>
      <c r="F106" s="55">
        <v>800</v>
      </c>
      <c r="G106" s="46">
        <v>48</v>
      </c>
      <c r="H106" s="46">
        <v>6</v>
      </c>
      <c r="I106" s="46" t="s">
        <v>365</v>
      </c>
      <c r="J106" s="46" t="s">
        <v>366</v>
      </c>
      <c r="K106" s="46" t="s">
        <v>367</v>
      </c>
      <c r="L106" s="46" t="s">
        <v>357</v>
      </c>
      <c r="M106" s="46" t="s">
        <v>358</v>
      </c>
      <c r="N106" s="46" t="s">
        <v>359</v>
      </c>
      <c r="O106" s="46">
        <v>0</v>
      </c>
      <c r="P106" s="46">
        <v>9</v>
      </c>
      <c r="Q106" s="46">
        <v>720</v>
      </c>
      <c r="R106" s="46">
        <v>49200</v>
      </c>
      <c r="S106" s="46" t="s">
        <v>267</v>
      </c>
      <c r="T106" s="46" t="s">
        <v>309</v>
      </c>
      <c r="U106" s="46" t="s">
        <v>309</v>
      </c>
    </row>
    <row r="107" spans="1:21">
      <c r="A107" s="46">
        <v>49233</v>
      </c>
      <c r="B107" s="46">
        <v>49200</v>
      </c>
      <c r="C107" s="46" t="s">
        <v>355</v>
      </c>
      <c r="D107" s="46">
        <v>5</v>
      </c>
      <c r="E107" s="46">
        <v>2</v>
      </c>
      <c r="F107" s="55">
        <v>800</v>
      </c>
      <c r="G107" s="46">
        <v>48</v>
      </c>
      <c r="H107" s="46">
        <v>6</v>
      </c>
      <c r="I107" s="46" t="s">
        <v>365</v>
      </c>
      <c r="J107" s="46" t="s">
        <v>366</v>
      </c>
      <c r="K107" s="46" t="s">
        <v>367</v>
      </c>
      <c r="L107" s="46" t="s">
        <v>357</v>
      </c>
      <c r="M107" s="46" t="s">
        <v>358</v>
      </c>
      <c r="N107" s="46" t="s">
        <v>359</v>
      </c>
      <c r="O107" s="46">
        <v>0</v>
      </c>
      <c r="P107" s="46">
        <v>9</v>
      </c>
      <c r="Q107" s="46">
        <v>740</v>
      </c>
      <c r="R107" s="46">
        <v>49200</v>
      </c>
      <c r="S107" s="46" t="s">
        <v>267</v>
      </c>
      <c r="T107" s="46" t="s">
        <v>309</v>
      </c>
      <c r="U107" s="46" t="s">
        <v>309</v>
      </c>
    </row>
    <row r="108" spans="1:21">
      <c r="A108" s="46">
        <v>49234</v>
      </c>
      <c r="B108" s="46">
        <v>49200</v>
      </c>
      <c r="C108" s="46" t="s">
        <v>355</v>
      </c>
      <c r="D108" s="46">
        <v>5</v>
      </c>
      <c r="E108" s="46">
        <v>3</v>
      </c>
      <c r="F108" s="55">
        <v>800</v>
      </c>
      <c r="G108" s="46">
        <v>48</v>
      </c>
      <c r="H108" s="46">
        <v>6</v>
      </c>
      <c r="I108" s="46" t="s">
        <v>365</v>
      </c>
      <c r="J108" s="46" t="s">
        <v>366</v>
      </c>
      <c r="K108" s="46" t="s">
        <v>367</v>
      </c>
      <c r="L108" s="46" t="s">
        <v>357</v>
      </c>
      <c r="M108" s="46" t="s">
        <v>358</v>
      </c>
      <c r="N108" s="46" t="s">
        <v>359</v>
      </c>
      <c r="O108" s="46">
        <v>0</v>
      </c>
      <c r="P108" s="46">
        <v>9</v>
      </c>
      <c r="Q108" s="46">
        <v>760</v>
      </c>
      <c r="R108" s="46">
        <v>49200</v>
      </c>
      <c r="S108" s="46" t="s">
        <v>267</v>
      </c>
      <c r="T108" s="46" t="s">
        <v>309</v>
      </c>
      <c r="U108" s="46" t="s">
        <v>309</v>
      </c>
    </row>
    <row r="109" spans="1:21">
      <c r="A109" s="46">
        <v>49235</v>
      </c>
      <c r="B109" s="46">
        <v>49200</v>
      </c>
      <c r="C109" s="46" t="s">
        <v>355</v>
      </c>
      <c r="D109" s="46">
        <v>5</v>
      </c>
      <c r="E109" s="46">
        <v>4</v>
      </c>
      <c r="F109" s="55">
        <v>800</v>
      </c>
      <c r="G109" s="46">
        <v>48</v>
      </c>
      <c r="H109" s="46">
        <v>6</v>
      </c>
      <c r="I109" s="46" t="s">
        <v>365</v>
      </c>
      <c r="J109" s="46" t="s">
        <v>366</v>
      </c>
      <c r="K109" s="46" t="s">
        <v>367</v>
      </c>
      <c r="L109" s="46" t="s">
        <v>357</v>
      </c>
      <c r="M109" s="46" t="s">
        <v>358</v>
      </c>
      <c r="N109" s="46" t="s">
        <v>359</v>
      </c>
      <c r="O109" s="46">
        <v>0</v>
      </c>
      <c r="P109" s="46">
        <v>9</v>
      </c>
      <c r="Q109" s="46">
        <v>780</v>
      </c>
      <c r="R109" s="46">
        <v>49200</v>
      </c>
      <c r="S109" s="46" t="s">
        <v>267</v>
      </c>
      <c r="T109" s="46" t="s">
        <v>309</v>
      </c>
      <c r="U109" s="46" t="s">
        <v>309</v>
      </c>
    </row>
    <row r="110" spans="1:21">
      <c r="A110" s="46">
        <v>49236</v>
      </c>
      <c r="B110" s="46">
        <v>49200</v>
      </c>
      <c r="C110" s="46" t="s">
        <v>355</v>
      </c>
      <c r="D110" s="46">
        <v>5</v>
      </c>
      <c r="E110" s="46">
        <v>5</v>
      </c>
      <c r="F110" s="55">
        <v>0</v>
      </c>
      <c r="G110" s="46">
        <v>0</v>
      </c>
      <c r="H110" s="46">
        <v>7</v>
      </c>
      <c r="I110" s="46" t="s">
        <v>365</v>
      </c>
      <c r="J110" s="46" t="s">
        <v>366</v>
      </c>
      <c r="K110" s="46" t="s">
        <v>367</v>
      </c>
      <c r="L110" s="46" t="s">
        <v>357</v>
      </c>
      <c r="M110" s="46" t="s">
        <v>358</v>
      </c>
      <c r="N110" s="46" t="s">
        <v>359</v>
      </c>
      <c r="O110" s="46">
        <v>0</v>
      </c>
      <c r="P110" s="46">
        <v>9</v>
      </c>
      <c r="Q110" s="46">
        <v>800</v>
      </c>
      <c r="R110" s="46">
        <v>49200</v>
      </c>
      <c r="S110" s="46" t="s">
        <v>267</v>
      </c>
      <c r="T110" s="46" t="s">
        <v>309</v>
      </c>
      <c r="U110" s="46" t="s">
        <v>309</v>
      </c>
    </row>
  </sheetData>
  <phoneticPr fontId="3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B146"/>
  <sheetViews>
    <sheetView topLeftCell="O1" workbookViewId="0">
      <selection activeCell="Z1" sqref="Z1"/>
    </sheetView>
  </sheetViews>
  <sheetFormatPr defaultRowHeight="16.5" customHeight="1"/>
  <cols>
    <col min="1" max="1" width="6.5" bestFit="1" customWidth="1"/>
    <col min="2" max="2" width="14.25" bestFit="1" customWidth="1"/>
    <col min="3" max="3" width="5.625" bestFit="1" customWidth="1"/>
    <col min="4" max="4" width="5.25" bestFit="1" customWidth="1"/>
    <col min="5" max="5" width="10.5" bestFit="1" customWidth="1"/>
    <col min="6" max="6" width="16.375" bestFit="1" customWidth="1"/>
    <col min="7" max="7" width="13.5" bestFit="1" customWidth="1"/>
    <col min="8" max="8" width="14.25" bestFit="1" customWidth="1"/>
    <col min="9" max="9" width="15.625" bestFit="1" customWidth="1"/>
    <col min="10" max="10" width="27" bestFit="1" customWidth="1"/>
    <col min="11" max="11" width="13.875" bestFit="1" customWidth="1"/>
    <col min="12" max="12" width="10.5" bestFit="1" customWidth="1"/>
    <col min="13" max="13" width="12.75" bestFit="1" customWidth="1"/>
    <col min="14" max="14" width="15.125" bestFit="1" customWidth="1"/>
    <col min="15" max="15" width="21.5" bestFit="1" customWidth="1"/>
    <col min="16" max="16" width="8.75" bestFit="1" customWidth="1"/>
    <col min="17" max="17" width="12.75" bestFit="1" customWidth="1"/>
    <col min="18" max="18" width="13.375" bestFit="1" customWidth="1"/>
    <col min="19" max="19" width="5.5" bestFit="1" customWidth="1"/>
    <col min="20" max="20" width="7.25" bestFit="1" customWidth="1"/>
    <col min="21" max="21" width="10.25" bestFit="1" customWidth="1"/>
    <col min="22" max="22" width="7.5" bestFit="1" customWidth="1"/>
    <col min="23" max="24" width="8.25" bestFit="1" customWidth="1"/>
    <col min="25" max="25" width="18.375" bestFit="1" customWidth="1"/>
    <col min="26" max="26" width="20.5" bestFit="1" customWidth="1"/>
    <col min="27" max="27" width="12.125" bestFit="1" customWidth="1"/>
  </cols>
  <sheetData>
    <row r="1" spans="1:28" s="42" customFormat="1" ht="16.5" customHeight="1">
      <c r="A1" s="38" t="s">
        <v>14</v>
      </c>
      <c r="B1" s="38" t="s">
        <v>271</v>
      </c>
      <c r="C1" s="38" t="s">
        <v>272</v>
      </c>
      <c r="D1" s="38" t="s">
        <v>273</v>
      </c>
      <c r="E1" s="38" t="s">
        <v>274</v>
      </c>
      <c r="F1" s="38" t="s">
        <v>275</v>
      </c>
      <c r="G1" s="38" t="s">
        <v>276</v>
      </c>
      <c r="H1" s="38" t="s">
        <v>277</v>
      </c>
      <c r="I1" s="38" t="s">
        <v>278</v>
      </c>
      <c r="J1" s="38" t="s">
        <v>123</v>
      </c>
      <c r="K1" s="38" t="s">
        <v>279</v>
      </c>
      <c r="L1" s="38" t="s">
        <v>280</v>
      </c>
      <c r="M1" s="38" t="s">
        <v>283</v>
      </c>
      <c r="N1" s="38" t="s">
        <v>284</v>
      </c>
      <c r="O1" s="38" t="s">
        <v>285</v>
      </c>
      <c r="P1" s="38" t="s">
        <v>286</v>
      </c>
      <c r="Q1" s="38" t="s">
        <v>368</v>
      </c>
      <c r="R1" s="38" t="s">
        <v>288</v>
      </c>
      <c r="S1" s="38" t="s">
        <v>289</v>
      </c>
      <c r="T1" s="38" t="s">
        <v>290</v>
      </c>
      <c r="U1" s="38" t="s">
        <v>369</v>
      </c>
      <c r="V1" s="38" t="s">
        <v>370</v>
      </c>
      <c r="W1" s="38" t="s">
        <v>366</v>
      </c>
      <c r="X1" s="38" t="s">
        <v>297</v>
      </c>
      <c r="Y1" s="38" t="s">
        <v>298</v>
      </c>
      <c r="Z1" s="38" t="s">
        <v>299</v>
      </c>
      <c r="AA1" s="38" t="s">
        <v>371</v>
      </c>
      <c r="AB1" s="38" t="s">
        <v>372</v>
      </c>
    </row>
    <row r="2" spans="1:28" ht="16.5" customHeight="1">
      <c r="A2" s="46">
        <v>2</v>
      </c>
      <c r="B2" s="46">
        <v>2</v>
      </c>
      <c r="C2" s="46" t="s">
        <v>373</v>
      </c>
      <c r="D2" s="46">
        <v>0</v>
      </c>
      <c r="E2" s="46">
        <v>0</v>
      </c>
      <c r="F2" s="46">
        <v>0</v>
      </c>
      <c r="G2" s="46">
        <v>0</v>
      </c>
      <c r="H2" s="46">
        <v>0</v>
      </c>
      <c r="I2" s="46">
        <v>0</v>
      </c>
      <c r="J2" s="46"/>
      <c r="K2" s="46" t="s">
        <v>374</v>
      </c>
      <c r="L2" s="46" t="s">
        <v>312</v>
      </c>
      <c r="M2" s="46" t="s">
        <v>303</v>
      </c>
      <c r="N2" s="46" t="s">
        <v>304</v>
      </c>
      <c r="O2" s="46" t="s">
        <v>375</v>
      </c>
      <c r="P2" s="46" t="s">
        <v>306</v>
      </c>
      <c r="Q2" s="46" t="s">
        <v>376</v>
      </c>
      <c r="R2" s="54" t="s">
        <v>307</v>
      </c>
      <c r="S2" s="46">
        <v>0</v>
      </c>
      <c r="T2" s="46">
        <v>0</v>
      </c>
      <c r="U2" s="46">
        <v>0</v>
      </c>
      <c r="V2" s="46">
        <v>0</v>
      </c>
      <c r="W2" s="46">
        <v>0</v>
      </c>
      <c r="X2" s="46">
        <v>0</v>
      </c>
      <c r="Y2" s="46" t="s">
        <v>267</v>
      </c>
      <c r="Z2" s="46" t="s">
        <v>309</v>
      </c>
      <c r="AA2" s="46" t="s">
        <v>309</v>
      </c>
      <c r="AB2" s="46">
        <v>0</v>
      </c>
    </row>
    <row r="3" spans="1:28" ht="16.5" customHeight="1">
      <c r="A3" s="46">
        <v>40001</v>
      </c>
      <c r="B3" s="46">
        <v>40000</v>
      </c>
      <c r="C3" s="46" t="s">
        <v>373</v>
      </c>
      <c r="D3" s="46">
        <v>0</v>
      </c>
      <c r="E3" s="46">
        <v>0</v>
      </c>
      <c r="F3" s="46">
        <v>10</v>
      </c>
      <c r="G3" s="46">
        <v>1</v>
      </c>
      <c r="H3" s="46">
        <v>1</v>
      </c>
      <c r="I3" s="46">
        <v>108</v>
      </c>
      <c r="J3" s="46" t="s">
        <v>377</v>
      </c>
      <c r="K3" s="46" t="s">
        <v>378</v>
      </c>
      <c r="L3" s="46" t="s">
        <v>312</v>
      </c>
      <c r="M3" s="46" t="s">
        <v>303</v>
      </c>
      <c r="N3" s="46" t="s">
        <v>304</v>
      </c>
      <c r="O3" s="46" t="s">
        <v>375</v>
      </c>
      <c r="P3" s="46" t="s">
        <v>306</v>
      </c>
      <c r="Q3" s="46" t="s">
        <v>376</v>
      </c>
      <c r="R3" s="54" t="s">
        <v>307</v>
      </c>
      <c r="S3" s="46">
        <v>500</v>
      </c>
      <c r="T3" s="46">
        <v>400</v>
      </c>
      <c r="U3" s="46">
        <v>800</v>
      </c>
      <c r="V3" s="46">
        <v>45</v>
      </c>
      <c r="W3" s="46">
        <v>0</v>
      </c>
      <c r="X3" s="46">
        <v>40000</v>
      </c>
      <c r="Y3" s="46" t="s">
        <v>267</v>
      </c>
      <c r="Z3" s="46" t="s">
        <v>309</v>
      </c>
      <c r="AA3" s="46" t="s">
        <v>309</v>
      </c>
      <c r="AB3" s="46">
        <v>2.5</v>
      </c>
    </row>
    <row r="4" spans="1:28" ht="16.5" customHeight="1">
      <c r="A4" s="46">
        <v>40002</v>
      </c>
      <c r="B4" s="46">
        <v>40000</v>
      </c>
      <c r="C4" s="46" t="s">
        <v>373</v>
      </c>
      <c r="D4" s="46">
        <v>0</v>
      </c>
      <c r="E4" s="46">
        <v>1</v>
      </c>
      <c r="F4" s="46">
        <v>10</v>
      </c>
      <c r="G4" s="46">
        <v>1</v>
      </c>
      <c r="H4" s="46">
        <v>1</v>
      </c>
      <c r="I4" s="46">
        <v>113</v>
      </c>
      <c r="J4" s="46" t="s">
        <v>377</v>
      </c>
      <c r="K4" s="46" t="s">
        <v>378</v>
      </c>
      <c r="L4" s="46" t="s">
        <v>312</v>
      </c>
      <c r="M4" s="46" t="s">
        <v>303</v>
      </c>
      <c r="N4" s="46" t="s">
        <v>304</v>
      </c>
      <c r="O4" s="46" t="s">
        <v>375</v>
      </c>
      <c r="P4" s="46" t="s">
        <v>306</v>
      </c>
      <c r="Q4" s="46" t="s">
        <v>379</v>
      </c>
      <c r="R4" s="54" t="s">
        <v>307</v>
      </c>
      <c r="S4" s="46">
        <v>550</v>
      </c>
      <c r="T4" s="46">
        <v>400</v>
      </c>
      <c r="U4" s="46">
        <v>800</v>
      </c>
      <c r="V4" s="46">
        <v>45</v>
      </c>
      <c r="W4" s="46">
        <v>0</v>
      </c>
      <c r="X4" s="46">
        <v>40000</v>
      </c>
      <c r="Y4" s="46" t="s">
        <v>267</v>
      </c>
      <c r="Z4" s="46" t="s">
        <v>309</v>
      </c>
      <c r="AA4" s="46" t="s">
        <v>309</v>
      </c>
      <c r="AB4" s="46">
        <v>2.5</v>
      </c>
    </row>
    <row r="5" spans="1:28" ht="16.5" customHeight="1">
      <c r="A5" s="46">
        <v>40003</v>
      </c>
      <c r="B5" s="46">
        <v>40000</v>
      </c>
      <c r="C5" s="46" t="s">
        <v>373</v>
      </c>
      <c r="D5" s="46">
        <v>0</v>
      </c>
      <c r="E5" s="46">
        <v>2</v>
      </c>
      <c r="F5" s="46">
        <v>10</v>
      </c>
      <c r="G5" s="46">
        <v>1</v>
      </c>
      <c r="H5" s="46">
        <v>1</v>
      </c>
      <c r="I5" s="46">
        <v>117</v>
      </c>
      <c r="J5" s="46" t="s">
        <v>377</v>
      </c>
      <c r="K5" s="46" t="s">
        <v>378</v>
      </c>
      <c r="L5" s="46" t="s">
        <v>312</v>
      </c>
      <c r="M5" s="46" t="s">
        <v>303</v>
      </c>
      <c r="N5" s="46" t="s">
        <v>304</v>
      </c>
      <c r="O5" s="46" t="s">
        <v>375</v>
      </c>
      <c r="P5" s="46" t="s">
        <v>306</v>
      </c>
      <c r="Q5" s="46" t="s">
        <v>379</v>
      </c>
      <c r="R5" s="54" t="s">
        <v>307</v>
      </c>
      <c r="S5" s="46">
        <v>600</v>
      </c>
      <c r="T5" s="46">
        <v>400</v>
      </c>
      <c r="U5" s="46">
        <v>800</v>
      </c>
      <c r="V5" s="46">
        <v>45</v>
      </c>
      <c r="W5" s="46">
        <v>0</v>
      </c>
      <c r="X5" s="46">
        <v>40000</v>
      </c>
      <c r="Y5" s="46" t="s">
        <v>267</v>
      </c>
      <c r="Z5" s="46" t="s">
        <v>309</v>
      </c>
      <c r="AA5" s="46" t="s">
        <v>309</v>
      </c>
      <c r="AB5" s="46">
        <v>2.5</v>
      </c>
    </row>
    <row r="6" spans="1:28" ht="16.5" customHeight="1">
      <c r="A6" s="46">
        <v>40004</v>
      </c>
      <c r="B6" s="46">
        <v>40000</v>
      </c>
      <c r="C6" s="46" t="s">
        <v>373</v>
      </c>
      <c r="D6" s="46">
        <v>0</v>
      </c>
      <c r="E6" s="46">
        <v>3</v>
      </c>
      <c r="F6" s="46">
        <v>10</v>
      </c>
      <c r="G6" s="46">
        <v>1</v>
      </c>
      <c r="H6" s="46">
        <v>1</v>
      </c>
      <c r="I6" s="46">
        <v>122</v>
      </c>
      <c r="J6" s="46" t="s">
        <v>377</v>
      </c>
      <c r="K6" s="46" t="s">
        <v>378</v>
      </c>
      <c r="L6" s="46" t="s">
        <v>312</v>
      </c>
      <c r="M6" s="46" t="s">
        <v>303</v>
      </c>
      <c r="N6" s="46" t="s">
        <v>304</v>
      </c>
      <c r="O6" s="46" t="s">
        <v>375</v>
      </c>
      <c r="P6" s="46" t="s">
        <v>306</v>
      </c>
      <c r="Q6" s="46" t="s">
        <v>379</v>
      </c>
      <c r="R6" s="54" t="s">
        <v>307</v>
      </c>
      <c r="S6" s="46">
        <v>650</v>
      </c>
      <c r="T6" s="46">
        <v>400</v>
      </c>
      <c r="U6" s="46">
        <v>800</v>
      </c>
      <c r="V6" s="46">
        <v>45</v>
      </c>
      <c r="W6" s="46">
        <v>0</v>
      </c>
      <c r="X6" s="46">
        <v>40000</v>
      </c>
      <c r="Y6" s="46" t="s">
        <v>267</v>
      </c>
      <c r="Z6" s="46" t="s">
        <v>309</v>
      </c>
      <c r="AA6" s="46" t="s">
        <v>309</v>
      </c>
      <c r="AB6" s="46">
        <v>2.5</v>
      </c>
    </row>
    <row r="7" spans="1:28" ht="16.5" customHeight="1">
      <c r="A7" s="46">
        <v>40005</v>
      </c>
      <c r="B7" s="46">
        <v>40000</v>
      </c>
      <c r="C7" s="46" t="s">
        <v>373</v>
      </c>
      <c r="D7" s="46">
        <v>0</v>
      </c>
      <c r="E7" s="46">
        <v>4</v>
      </c>
      <c r="F7" s="46">
        <v>10</v>
      </c>
      <c r="G7" s="46">
        <v>1</v>
      </c>
      <c r="H7" s="46">
        <v>1</v>
      </c>
      <c r="I7" s="46">
        <v>126</v>
      </c>
      <c r="J7" s="46" t="s">
        <v>377</v>
      </c>
      <c r="K7" s="46" t="s">
        <v>378</v>
      </c>
      <c r="L7" s="46" t="s">
        <v>312</v>
      </c>
      <c r="M7" s="46" t="s">
        <v>303</v>
      </c>
      <c r="N7" s="46" t="s">
        <v>304</v>
      </c>
      <c r="O7" s="46" t="s">
        <v>375</v>
      </c>
      <c r="P7" s="46" t="s">
        <v>306</v>
      </c>
      <c r="Q7" s="46" t="s">
        <v>379</v>
      </c>
      <c r="R7" s="54" t="s">
        <v>307</v>
      </c>
      <c r="S7" s="46">
        <v>700</v>
      </c>
      <c r="T7" s="46">
        <v>400</v>
      </c>
      <c r="U7" s="46">
        <v>800</v>
      </c>
      <c r="V7" s="46">
        <v>45</v>
      </c>
      <c r="W7" s="46">
        <v>0</v>
      </c>
      <c r="X7" s="46">
        <v>40000</v>
      </c>
      <c r="Y7" s="46" t="s">
        <v>267</v>
      </c>
      <c r="Z7" s="46" t="s">
        <v>309</v>
      </c>
      <c r="AA7" s="46" t="s">
        <v>309</v>
      </c>
      <c r="AB7" s="46">
        <v>2.5</v>
      </c>
    </row>
    <row r="8" spans="1:28" ht="16.5" customHeight="1">
      <c r="A8" s="46">
        <v>40006</v>
      </c>
      <c r="B8" s="46">
        <v>40000</v>
      </c>
      <c r="C8" s="46" t="s">
        <v>373</v>
      </c>
      <c r="D8" s="46">
        <v>0</v>
      </c>
      <c r="E8" s="46">
        <v>5</v>
      </c>
      <c r="F8" s="46">
        <v>20</v>
      </c>
      <c r="G8" s="46">
        <v>1</v>
      </c>
      <c r="H8" s="46">
        <v>2</v>
      </c>
      <c r="I8" s="46">
        <v>131</v>
      </c>
      <c r="J8" s="46" t="s">
        <v>377</v>
      </c>
      <c r="K8" s="46" t="s">
        <v>378</v>
      </c>
      <c r="L8" s="46" t="s">
        <v>312</v>
      </c>
      <c r="M8" s="46" t="s">
        <v>303</v>
      </c>
      <c r="N8" s="46" t="s">
        <v>304</v>
      </c>
      <c r="O8" s="46" t="s">
        <v>375</v>
      </c>
      <c r="P8" s="46" t="s">
        <v>306</v>
      </c>
      <c r="Q8" s="46" t="s">
        <v>379</v>
      </c>
      <c r="R8" s="54" t="s">
        <v>307</v>
      </c>
      <c r="S8" s="46">
        <v>750</v>
      </c>
      <c r="T8" s="46">
        <v>400</v>
      </c>
      <c r="U8" s="46">
        <v>800</v>
      </c>
      <c r="V8" s="46">
        <v>45</v>
      </c>
      <c r="W8" s="46">
        <v>0</v>
      </c>
      <c r="X8" s="46">
        <v>40000</v>
      </c>
      <c r="Y8" s="46" t="s">
        <v>267</v>
      </c>
      <c r="Z8" s="46" t="s">
        <v>309</v>
      </c>
      <c r="AA8" s="46" t="s">
        <v>309</v>
      </c>
      <c r="AB8" s="46">
        <v>2.5</v>
      </c>
    </row>
    <row r="9" spans="1:28" ht="16.5" customHeight="1">
      <c r="A9" s="46">
        <v>40007</v>
      </c>
      <c r="B9" s="46">
        <v>40000</v>
      </c>
      <c r="C9" s="46" t="s">
        <v>373</v>
      </c>
      <c r="D9" s="46">
        <v>1</v>
      </c>
      <c r="E9" s="46">
        <v>0</v>
      </c>
      <c r="F9" s="46">
        <v>20</v>
      </c>
      <c r="G9" s="46">
        <v>2</v>
      </c>
      <c r="H9" s="46">
        <v>2</v>
      </c>
      <c r="I9" s="46">
        <v>137</v>
      </c>
      <c r="J9" s="46" t="s">
        <v>377</v>
      </c>
      <c r="K9" s="46" t="s">
        <v>380</v>
      </c>
      <c r="L9" s="46" t="s">
        <v>312</v>
      </c>
      <c r="M9" s="46" t="s">
        <v>303</v>
      </c>
      <c r="N9" s="46" t="s">
        <v>304</v>
      </c>
      <c r="O9" s="46" t="s">
        <v>375</v>
      </c>
      <c r="P9" s="46" t="s">
        <v>306</v>
      </c>
      <c r="Q9" s="46" t="s">
        <v>379</v>
      </c>
      <c r="R9" s="54" t="s">
        <v>307</v>
      </c>
      <c r="S9" s="46">
        <v>800</v>
      </c>
      <c r="T9" s="46">
        <v>430</v>
      </c>
      <c r="U9" s="46">
        <v>850</v>
      </c>
      <c r="V9" s="46">
        <v>50</v>
      </c>
      <c r="W9" s="46">
        <v>0</v>
      </c>
      <c r="X9" s="46">
        <v>40000</v>
      </c>
      <c r="Y9" s="46" t="s">
        <v>267</v>
      </c>
      <c r="Z9" s="46" t="s">
        <v>309</v>
      </c>
      <c r="AA9" s="46" t="s">
        <v>309</v>
      </c>
      <c r="AB9" s="46">
        <v>2.5</v>
      </c>
    </row>
    <row r="10" spans="1:28" ht="16.5" customHeight="1">
      <c r="A10" s="46">
        <v>40008</v>
      </c>
      <c r="B10" s="46">
        <v>40000</v>
      </c>
      <c r="C10" s="46" t="s">
        <v>373</v>
      </c>
      <c r="D10" s="46">
        <v>1</v>
      </c>
      <c r="E10" s="46">
        <v>1</v>
      </c>
      <c r="F10" s="46">
        <v>20</v>
      </c>
      <c r="G10" s="46">
        <v>2</v>
      </c>
      <c r="H10" s="46">
        <v>2</v>
      </c>
      <c r="I10" s="46">
        <v>143</v>
      </c>
      <c r="J10" s="46" t="s">
        <v>377</v>
      </c>
      <c r="K10" s="46" t="s">
        <v>380</v>
      </c>
      <c r="L10" s="46" t="s">
        <v>312</v>
      </c>
      <c r="M10" s="46" t="s">
        <v>303</v>
      </c>
      <c r="N10" s="46" t="s">
        <v>304</v>
      </c>
      <c r="O10" s="46" t="s">
        <v>375</v>
      </c>
      <c r="P10" s="46" t="s">
        <v>306</v>
      </c>
      <c r="Q10" s="46" t="s">
        <v>379</v>
      </c>
      <c r="R10" s="54" t="s">
        <v>307</v>
      </c>
      <c r="S10" s="46">
        <v>850</v>
      </c>
      <c r="T10" s="46">
        <v>430</v>
      </c>
      <c r="U10" s="46">
        <v>850</v>
      </c>
      <c r="V10" s="46">
        <v>50</v>
      </c>
      <c r="W10" s="46">
        <v>0</v>
      </c>
      <c r="X10" s="46">
        <v>40000</v>
      </c>
      <c r="Y10" s="46" t="s">
        <v>267</v>
      </c>
      <c r="Z10" s="46" t="s">
        <v>309</v>
      </c>
      <c r="AA10" s="46" t="s">
        <v>309</v>
      </c>
      <c r="AB10" s="46">
        <v>2.5</v>
      </c>
    </row>
    <row r="11" spans="1:28" ht="16.5" customHeight="1">
      <c r="A11" s="46">
        <v>40009</v>
      </c>
      <c r="B11" s="46">
        <v>40000</v>
      </c>
      <c r="C11" s="46" t="s">
        <v>373</v>
      </c>
      <c r="D11" s="46">
        <v>1</v>
      </c>
      <c r="E11" s="46">
        <v>2</v>
      </c>
      <c r="F11" s="46">
        <v>20</v>
      </c>
      <c r="G11" s="46">
        <v>2</v>
      </c>
      <c r="H11" s="46">
        <v>2</v>
      </c>
      <c r="I11" s="46">
        <v>149</v>
      </c>
      <c r="J11" s="46" t="s">
        <v>377</v>
      </c>
      <c r="K11" s="46" t="s">
        <v>380</v>
      </c>
      <c r="L11" s="46" t="s">
        <v>312</v>
      </c>
      <c r="M11" s="46" t="s">
        <v>303</v>
      </c>
      <c r="N11" s="46" t="s">
        <v>304</v>
      </c>
      <c r="O11" s="46" t="s">
        <v>375</v>
      </c>
      <c r="P11" s="46" t="s">
        <v>306</v>
      </c>
      <c r="Q11" s="46" t="s">
        <v>379</v>
      </c>
      <c r="R11" s="54" t="s">
        <v>307</v>
      </c>
      <c r="S11" s="46">
        <v>900</v>
      </c>
      <c r="T11" s="46">
        <v>430</v>
      </c>
      <c r="U11" s="46">
        <v>850</v>
      </c>
      <c r="V11" s="46">
        <v>50</v>
      </c>
      <c r="W11" s="46">
        <v>0</v>
      </c>
      <c r="X11" s="46">
        <v>40000</v>
      </c>
      <c r="Y11" s="46" t="s">
        <v>267</v>
      </c>
      <c r="Z11" s="46" t="s">
        <v>309</v>
      </c>
      <c r="AA11" s="46" t="s">
        <v>309</v>
      </c>
      <c r="AB11" s="46">
        <v>2.5</v>
      </c>
    </row>
    <row r="12" spans="1:28" ht="16.5" customHeight="1">
      <c r="A12" s="46">
        <v>40010</v>
      </c>
      <c r="B12" s="46">
        <v>40000</v>
      </c>
      <c r="C12" s="46" t="s">
        <v>373</v>
      </c>
      <c r="D12" s="46">
        <v>1</v>
      </c>
      <c r="E12" s="46">
        <v>3</v>
      </c>
      <c r="F12" s="46">
        <v>20</v>
      </c>
      <c r="G12" s="46">
        <v>2</v>
      </c>
      <c r="H12" s="46">
        <v>2</v>
      </c>
      <c r="I12" s="46">
        <v>156</v>
      </c>
      <c r="J12" s="46" t="s">
        <v>377</v>
      </c>
      <c r="K12" s="46" t="s">
        <v>380</v>
      </c>
      <c r="L12" s="46" t="s">
        <v>312</v>
      </c>
      <c r="M12" s="46" t="s">
        <v>303</v>
      </c>
      <c r="N12" s="46" t="s">
        <v>304</v>
      </c>
      <c r="O12" s="46" t="s">
        <v>375</v>
      </c>
      <c r="P12" s="46" t="s">
        <v>306</v>
      </c>
      <c r="Q12" s="46" t="s">
        <v>379</v>
      </c>
      <c r="R12" s="54" t="s">
        <v>307</v>
      </c>
      <c r="S12" s="46">
        <v>950</v>
      </c>
      <c r="T12" s="46">
        <v>430</v>
      </c>
      <c r="U12" s="46">
        <v>850</v>
      </c>
      <c r="V12" s="46">
        <v>50</v>
      </c>
      <c r="W12" s="46">
        <v>0</v>
      </c>
      <c r="X12" s="46">
        <v>40000</v>
      </c>
      <c r="Y12" s="46" t="s">
        <v>267</v>
      </c>
      <c r="Z12" s="46" t="s">
        <v>309</v>
      </c>
      <c r="AA12" s="46" t="s">
        <v>309</v>
      </c>
      <c r="AB12" s="46">
        <v>2.5</v>
      </c>
    </row>
    <row r="13" spans="1:28" ht="16.5" customHeight="1">
      <c r="A13" s="46">
        <v>40011</v>
      </c>
      <c r="B13" s="46">
        <v>40000</v>
      </c>
      <c r="C13" s="46" t="s">
        <v>373</v>
      </c>
      <c r="D13" s="46">
        <v>1</v>
      </c>
      <c r="E13" s="46">
        <v>4</v>
      </c>
      <c r="F13" s="46">
        <v>20</v>
      </c>
      <c r="G13" s="46">
        <v>2</v>
      </c>
      <c r="H13" s="46">
        <v>2</v>
      </c>
      <c r="I13" s="46">
        <v>162</v>
      </c>
      <c r="J13" s="46" t="s">
        <v>377</v>
      </c>
      <c r="K13" s="46" t="s">
        <v>380</v>
      </c>
      <c r="L13" s="46" t="s">
        <v>312</v>
      </c>
      <c r="M13" s="46" t="s">
        <v>303</v>
      </c>
      <c r="N13" s="46" t="s">
        <v>304</v>
      </c>
      <c r="O13" s="46" t="s">
        <v>375</v>
      </c>
      <c r="P13" s="46" t="s">
        <v>306</v>
      </c>
      <c r="Q13" s="46" t="s">
        <v>379</v>
      </c>
      <c r="R13" s="54" t="s">
        <v>307</v>
      </c>
      <c r="S13" s="46">
        <v>1000</v>
      </c>
      <c r="T13" s="46">
        <v>430</v>
      </c>
      <c r="U13" s="46">
        <v>850</v>
      </c>
      <c r="V13" s="46">
        <v>50</v>
      </c>
      <c r="W13" s="46">
        <v>0</v>
      </c>
      <c r="X13" s="46">
        <v>40000</v>
      </c>
      <c r="Y13" s="46" t="s">
        <v>267</v>
      </c>
      <c r="Z13" s="46" t="s">
        <v>309</v>
      </c>
      <c r="AA13" s="46" t="s">
        <v>309</v>
      </c>
      <c r="AB13" s="46">
        <v>2.5</v>
      </c>
    </row>
    <row r="14" spans="1:28" ht="16.5" customHeight="1">
      <c r="A14" s="46">
        <v>40012</v>
      </c>
      <c r="B14" s="46">
        <v>40000</v>
      </c>
      <c r="C14" s="46" t="s">
        <v>373</v>
      </c>
      <c r="D14" s="46">
        <v>1</v>
      </c>
      <c r="E14" s="46">
        <v>5</v>
      </c>
      <c r="F14" s="46">
        <v>30</v>
      </c>
      <c r="G14" s="46">
        <v>2</v>
      </c>
      <c r="H14" s="46">
        <v>3</v>
      </c>
      <c r="I14" s="46">
        <v>168</v>
      </c>
      <c r="J14" s="46" t="s">
        <v>377</v>
      </c>
      <c r="K14" s="46" t="s">
        <v>380</v>
      </c>
      <c r="L14" s="46" t="s">
        <v>312</v>
      </c>
      <c r="M14" s="46" t="s">
        <v>303</v>
      </c>
      <c r="N14" s="46" t="s">
        <v>304</v>
      </c>
      <c r="O14" s="46" t="s">
        <v>375</v>
      </c>
      <c r="P14" s="46" t="s">
        <v>306</v>
      </c>
      <c r="Q14" s="46" t="s">
        <v>379</v>
      </c>
      <c r="R14" s="54" t="s">
        <v>307</v>
      </c>
      <c r="S14" s="46">
        <v>1050</v>
      </c>
      <c r="T14" s="46">
        <v>430</v>
      </c>
      <c r="U14" s="46">
        <v>850</v>
      </c>
      <c r="V14" s="46">
        <v>50</v>
      </c>
      <c r="W14" s="46">
        <v>0</v>
      </c>
      <c r="X14" s="46">
        <v>40000</v>
      </c>
      <c r="Y14" s="46" t="s">
        <v>267</v>
      </c>
      <c r="Z14" s="46" t="s">
        <v>309</v>
      </c>
      <c r="AA14" s="46" t="s">
        <v>309</v>
      </c>
      <c r="AB14" s="46">
        <v>2.5</v>
      </c>
    </row>
    <row r="15" spans="1:28" ht="16.5" customHeight="1">
      <c r="A15" s="46">
        <v>40013</v>
      </c>
      <c r="B15" s="46">
        <v>40000</v>
      </c>
      <c r="C15" s="46" t="s">
        <v>373</v>
      </c>
      <c r="D15" s="46">
        <v>2</v>
      </c>
      <c r="E15" s="46">
        <v>0</v>
      </c>
      <c r="F15" s="46">
        <v>30</v>
      </c>
      <c r="G15" s="46">
        <v>4</v>
      </c>
      <c r="H15" s="46">
        <v>3</v>
      </c>
      <c r="I15" s="46">
        <v>180</v>
      </c>
      <c r="J15" s="46" t="s">
        <v>377</v>
      </c>
      <c r="K15" s="46" t="s">
        <v>381</v>
      </c>
      <c r="L15" s="46" t="s">
        <v>312</v>
      </c>
      <c r="M15" s="46" t="s">
        <v>303</v>
      </c>
      <c r="N15" s="46" t="s">
        <v>304</v>
      </c>
      <c r="O15" s="46" t="s">
        <v>375</v>
      </c>
      <c r="P15" s="46" t="s">
        <v>306</v>
      </c>
      <c r="Q15" s="46" t="s">
        <v>379</v>
      </c>
      <c r="R15" s="54" t="s">
        <v>307</v>
      </c>
      <c r="S15" s="46">
        <v>1100</v>
      </c>
      <c r="T15" s="46">
        <v>450</v>
      </c>
      <c r="U15" s="46">
        <v>900</v>
      </c>
      <c r="V15" s="46">
        <v>55</v>
      </c>
      <c r="W15" s="46">
        <v>0</v>
      </c>
      <c r="X15" s="46">
        <v>40000</v>
      </c>
      <c r="Y15" s="46" t="s">
        <v>267</v>
      </c>
      <c r="Z15" s="46" t="s">
        <v>309</v>
      </c>
      <c r="AA15" s="46" t="s">
        <v>309</v>
      </c>
      <c r="AB15" s="46">
        <v>2.5</v>
      </c>
    </row>
    <row r="16" spans="1:28" ht="16.5" customHeight="1">
      <c r="A16" s="46">
        <v>40014</v>
      </c>
      <c r="B16" s="46">
        <v>40000</v>
      </c>
      <c r="C16" s="46" t="s">
        <v>373</v>
      </c>
      <c r="D16" s="46">
        <v>2</v>
      </c>
      <c r="E16" s="46">
        <v>1</v>
      </c>
      <c r="F16" s="46">
        <v>30</v>
      </c>
      <c r="G16" s="46">
        <v>4</v>
      </c>
      <c r="H16" s="46">
        <v>3</v>
      </c>
      <c r="I16" s="46">
        <v>192</v>
      </c>
      <c r="J16" s="46" t="s">
        <v>377</v>
      </c>
      <c r="K16" s="46" t="s">
        <v>381</v>
      </c>
      <c r="L16" s="46" t="s">
        <v>312</v>
      </c>
      <c r="M16" s="46" t="s">
        <v>303</v>
      </c>
      <c r="N16" s="46" t="s">
        <v>304</v>
      </c>
      <c r="O16" s="46" t="s">
        <v>375</v>
      </c>
      <c r="P16" s="46" t="s">
        <v>306</v>
      </c>
      <c r="Q16" s="46" t="s">
        <v>379</v>
      </c>
      <c r="R16" s="54" t="s">
        <v>307</v>
      </c>
      <c r="S16" s="46">
        <v>1150</v>
      </c>
      <c r="T16" s="46">
        <v>450</v>
      </c>
      <c r="U16" s="46">
        <v>900</v>
      </c>
      <c r="V16" s="46">
        <v>55</v>
      </c>
      <c r="W16" s="46">
        <v>0</v>
      </c>
      <c r="X16" s="46">
        <v>40000</v>
      </c>
      <c r="Y16" s="46" t="s">
        <v>267</v>
      </c>
      <c r="Z16" s="46" t="s">
        <v>309</v>
      </c>
      <c r="AA16" s="46" t="s">
        <v>309</v>
      </c>
      <c r="AB16" s="46">
        <v>2.5</v>
      </c>
    </row>
    <row r="17" spans="1:28" ht="16.5" customHeight="1">
      <c r="A17" s="46">
        <v>40015</v>
      </c>
      <c r="B17" s="46">
        <v>40000</v>
      </c>
      <c r="C17" s="46" t="s">
        <v>373</v>
      </c>
      <c r="D17" s="46">
        <v>2</v>
      </c>
      <c r="E17" s="46">
        <v>2</v>
      </c>
      <c r="F17" s="46">
        <v>30</v>
      </c>
      <c r="G17" s="46">
        <v>4</v>
      </c>
      <c r="H17" s="46">
        <v>3</v>
      </c>
      <c r="I17" s="46">
        <v>203</v>
      </c>
      <c r="J17" s="46" t="s">
        <v>377</v>
      </c>
      <c r="K17" s="46" t="s">
        <v>381</v>
      </c>
      <c r="L17" s="46" t="s">
        <v>312</v>
      </c>
      <c r="M17" s="46" t="s">
        <v>303</v>
      </c>
      <c r="N17" s="46" t="s">
        <v>304</v>
      </c>
      <c r="O17" s="46" t="s">
        <v>375</v>
      </c>
      <c r="P17" s="46" t="s">
        <v>306</v>
      </c>
      <c r="Q17" s="46" t="s">
        <v>379</v>
      </c>
      <c r="R17" s="54" t="s">
        <v>307</v>
      </c>
      <c r="S17" s="46">
        <v>1200</v>
      </c>
      <c r="T17" s="46">
        <v>450</v>
      </c>
      <c r="U17" s="46">
        <v>900</v>
      </c>
      <c r="V17" s="46">
        <v>55</v>
      </c>
      <c r="W17" s="46">
        <v>0</v>
      </c>
      <c r="X17" s="46">
        <v>40000</v>
      </c>
      <c r="Y17" s="46" t="s">
        <v>267</v>
      </c>
      <c r="Z17" s="46" t="s">
        <v>309</v>
      </c>
      <c r="AA17" s="46" t="s">
        <v>309</v>
      </c>
      <c r="AB17" s="46">
        <v>2.5</v>
      </c>
    </row>
    <row r="18" spans="1:28" ht="16.5" customHeight="1">
      <c r="A18" s="46">
        <v>40016</v>
      </c>
      <c r="B18" s="46">
        <v>40000</v>
      </c>
      <c r="C18" s="46" t="s">
        <v>373</v>
      </c>
      <c r="D18" s="46">
        <v>2</v>
      </c>
      <c r="E18" s="46">
        <v>3</v>
      </c>
      <c r="F18" s="46">
        <v>30</v>
      </c>
      <c r="G18" s="46">
        <v>4</v>
      </c>
      <c r="H18" s="46">
        <v>3</v>
      </c>
      <c r="I18" s="46">
        <v>215</v>
      </c>
      <c r="J18" s="46" t="s">
        <v>377</v>
      </c>
      <c r="K18" s="46" t="s">
        <v>381</v>
      </c>
      <c r="L18" s="46" t="s">
        <v>312</v>
      </c>
      <c r="M18" s="46" t="s">
        <v>303</v>
      </c>
      <c r="N18" s="46" t="s">
        <v>304</v>
      </c>
      <c r="O18" s="46" t="s">
        <v>375</v>
      </c>
      <c r="P18" s="46" t="s">
        <v>306</v>
      </c>
      <c r="Q18" s="46" t="s">
        <v>379</v>
      </c>
      <c r="R18" s="54" t="s">
        <v>307</v>
      </c>
      <c r="S18" s="46">
        <v>1250</v>
      </c>
      <c r="T18" s="46">
        <v>450</v>
      </c>
      <c r="U18" s="46">
        <v>900</v>
      </c>
      <c r="V18" s="46">
        <v>55</v>
      </c>
      <c r="W18" s="46">
        <v>0</v>
      </c>
      <c r="X18" s="46">
        <v>40000</v>
      </c>
      <c r="Y18" s="46" t="s">
        <v>267</v>
      </c>
      <c r="Z18" s="46" t="s">
        <v>309</v>
      </c>
      <c r="AA18" s="46" t="s">
        <v>309</v>
      </c>
      <c r="AB18" s="46">
        <v>2.5</v>
      </c>
    </row>
    <row r="19" spans="1:28" ht="16.5" customHeight="1">
      <c r="A19" s="46">
        <v>40017</v>
      </c>
      <c r="B19" s="46">
        <v>40000</v>
      </c>
      <c r="C19" s="46" t="s">
        <v>373</v>
      </c>
      <c r="D19" s="46">
        <v>2</v>
      </c>
      <c r="E19" s="46">
        <v>4</v>
      </c>
      <c r="F19" s="46">
        <v>30</v>
      </c>
      <c r="G19" s="46">
        <v>4</v>
      </c>
      <c r="H19" s="46">
        <v>3</v>
      </c>
      <c r="I19" s="46">
        <v>227</v>
      </c>
      <c r="J19" s="46" t="s">
        <v>377</v>
      </c>
      <c r="K19" s="46" t="s">
        <v>381</v>
      </c>
      <c r="L19" s="46" t="s">
        <v>312</v>
      </c>
      <c r="M19" s="46" t="s">
        <v>303</v>
      </c>
      <c r="N19" s="46" t="s">
        <v>304</v>
      </c>
      <c r="O19" s="46" t="s">
        <v>375</v>
      </c>
      <c r="P19" s="46" t="s">
        <v>306</v>
      </c>
      <c r="Q19" s="46" t="s">
        <v>379</v>
      </c>
      <c r="R19" s="54" t="s">
        <v>307</v>
      </c>
      <c r="S19" s="46">
        <v>1300</v>
      </c>
      <c r="T19" s="46">
        <v>450</v>
      </c>
      <c r="U19" s="46">
        <v>900</v>
      </c>
      <c r="V19" s="46">
        <v>55</v>
      </c>
      <c r="W19" s="46">
        <v>0</v>
      </c>
      <c r="X19" s="46">
        <v>40000</v>
      </c>
      <c r="Y19" s="46" t="s">
        <v>267</v>
      </c>
      <c r="Z19" s="46" t="s">
        <v>309</v>
      </c>
      <c r="AA19" s="46" t="s">
        <v>309</v>
      </c>
      <c r="AB19" s="46">
        <v>2.5</v>
      </c>
    </row>
    <row r="20" spans="1:28" ht="16.5" customHeight="1">
      <c r="A20" s="46">
        <v>40018</v>
      </c>
      <c r="B20" s="46">
        <v>40000</v>
      </c>
      <c r="C20" s="46" t="s">
        <v>373</v>
      </c>
      <c r="D20" s="46">
        <v>2</v>
      </c>
      <c r="E20" s="46">
        <v>5</v>
      </c>
      <c r="F20" s="46">
        <v>50</v>
      </c>
      <c r="G20" s="46">
        <v>4</v>
      </c>
      <c r="H20" s="46">
        <v>4</v>
      </c>
      <c r="I20" s="46">
        <v>239</v>
      </c>
      <c r="J20" s="46" t="s">
        <v>377</v>
      </c>
      <c r="K20" s="46" t="s">
        <v>381</v>
      </c>
      <c r="L20" s="46" t="s">
        <v>312</v>
      </c>
      <c r="M20" s="46" t="s">
        <v>303</v>
      </c>
      <c r="N20" s="46" t="s">
        <v>304</v>
      </c>
      <c r="O20" s="46" t="s">
        <v>375</v>
      </c>
      <c r="P20" s="46" t="s">
        <v>306</v>
      </c>
      <c r="Q20" s="46" t="s">
        <v>379</v>
      </c>
      <c r="R20" s="54" t="s">
        <v>307</v>
      </c>
      <c r="S20" s="46">
        <v>1350</v>
      </c>
      <c r="T20" s="46">
        <v>450</v>
      </c>
      <c r="U20" s="46">
        <v>900</v>
      </c>
      <c r="V20" s="46">
        <v>55</v>
      </c>
      <c r="W20" s="46">
        <v>0</v>
      </c>
      <c r="X20" s="46">
        <v>40000</v>
      </c>
      <c r="Y20" s="46" t="s">
        <v>267</v>
      </c>
      <c r="Z20" s="46" t="s">
        <v>309</v>
      </c>
      <c r="AA20" s="46" t="s">
        <v>309</v>
      </c>
      <c r="AB20" s="46">
        <v>2.5</v>
      </c>
    </row>
    <row r="21" spans="1:28" ht="16.5" customHeight="1">
      <c r="A21" s="46">
        <v>40019</v>
      </c>
      <c r="B21" s="46">
        <v>40000</v>
      </c>
      <c r="C21" s="46" t="s">
        <v>373</v>
      </c>
      <c r="D21" s="46">
        <v>3</v>
      </c>
      <c r="E21" s="46">
        <v>0</v>
      </c>
      <c r="F21" s="46">
        <v>50</v>
      </c>
      <c r="G21" s="46">
        <v>8</v>
      </c>
      <c r="H21" s="46">
        <v>4</v>
      </c>
      <c r="I21" s="46">
        <v>255</v>
      </c>
      <c r="J21" s="46" t="s">
        <v>377</v>
      </c>
      <c r="K21" s="46" t="s">
        <v>382</v>
      </c>
      <c r="L21" s="46" t="s">
        <v>312</v>
      </c>
      <c r="M21" s="46" t="s">
        <v>303</v>
      </c>
      <c r="N21" s="46" t="s">
        <v>304</v>
      </c>
      <c r="O21" s="46" t="s">
        <v>375</v>
      </c>
      <c r="P21" s="46" t="s">
        <v>306</v>
      </c>
      <c r="Q21" s="46" t="s">
        <v>379</v>
      </c>
      <c r="R21" s="54" t="s">
        <v>307</v>
      </c>
      <c r="S21" s="46">
        <v>1400</v>
      </c>
      <c r="T21" s="46">
        <v>480</v>
      </c>
      <c r="U21" s="46">
        <v>950</v>
      </c>
      <c r="V21" s="46">
        <v>60</v>
      </c>
      <c r="W21" s="46">
        <v>0</v>
      </c>
      <c r="X21" s="46">
        <v>40000</v>
      </c>
      <c r="Y21" s="46" t="s">
        <v>267</v>
      </c>
      <c r="Z21" s="46" t="s">
        <v>309</v>
      </c>
      <c r="AA21" s="46" t="s">
        <v>309</v>
      </c>
      <c r="AB21" s="46">
        <v>2.5</v>
      </c>
    </row>
    <row r="22" spans="1:28" ht="16.5" customHeight="1">
      <c r="A22" s="46">
        <v>40020</v>
      </c>
      <c r="B22" s="46">
        <v>40000</v>
      </c>
      <c r="C22" s="46" t="s">
        <v>373</v>
      </c>
      <c r="D22" s="46">
        <v>3</v>
      </c>
      <c r="E22" s="46">
        <v>1</v>
      </c>
      <c r="F22" s="46">
        <v>50</v>
      </c>
      <c r="G22" s="46">
        <v>8</v>
      </c>
      <c r="H22" s="46">
        <v>4</v>
      </c>
      <c r="I22" s="46">
        <v>271</v>
      </c>
      <c r="J22" s="46" t="s">
        <v>377</v>
      </c>
      <c r="K22" s="46" t="s">
        <v>382</v>
      </c>
      <c r="L22" s="46" t="s">
        <v>312</v>
      </c>
      <c r="M22" s="46" t="s">
        <v>303</v>
      </c>
      <c r="N22" s="46" t="s">
        <v>304</v>
      </c>
      <c r="O22" s="46" t="s">
        <v>375</v>
      </c>
      <c r="P22" s="46" t="s">
        <v>306</v>
      </c>
      <c r="Q22" s="46" t="s">
        <v>379</v>
      </c>
      <c r="R22" s="54" t="s">
        <v>307</v>
      </c>
      <c r="S22" s="46">
        <v>1450</v>
      </c>
      <c r="T22" s="46">
        <v>480</v>
      </c>
      <c r="U22" s="46">
        <v>950</v>
      </c>
      <c r="V22" s="46">
        <v>60</v>
      </c>
      <c r="W22" s="46">
        <v>0</v>
      </c>
      <c r="X22" s="46">
        <v>40000</v>
      </c>
      <c r="Y22" s="46" t="s">
        <v>267</v>
      </c>
      <c r="Z22" s="46" t="s">
        <v>309</v>
      </c>
      <c r="AA22" s="46" t="s">
        <v>309</v>
      </c>
      <c r="AB22" s="46">
        <v>2.5</v>
      </c>
    </row>
    <row r="23" spans="1:28" ht="16.5" customHeight="1">
      <c r="A23" s="46">
        <v>40021</v>
      </c>
      <c r="B23" s="46">
        <v>40000</v>
      </c>
      <c r="C23" s="46" t="s">
        <v>373</v>
      </c>
      <c r="D23" s="46">
        <v>3</v>
      </c>
      <c r="E23" s="46">
        <v>2</v>
      </c>
      <c r="F23" s="46">
        <v>50</v>
      </c>
      <c r="G23" s="46">
        <v>8</v>
      </c>
      <c r="H23" s="46">
        <v>4</v>
      </c>
      <c r="I23" s="46">
        <v>287</v>
      </c>
      <c r="J23" s="46" t="s">
        <v>377</v>
      </c>
      <c r="K23" s="46" t="s">
        <v>382</v>
      </c>
      <c r="L23" s="46" t="s">
        <v>312</v>
      </c>
      <c r="M23" s="46" t="s">
        <v>303</v>
      </c>
      <c r="N23" s="46" t="s">
        <v>304</v>
      </c>
      <c r="O23" s="46" t="s">
        <v>375</v>
      </c>
      <c r="P23" s="46" t="s">
        <v>306</v>
      </c>
      <c r="Q23" s="46" t="s">
        <v>379</v>
      </c>
      <c r="R23" s="54" t="s">
        <v>307</v>
      </c>
      <c r="S23" s="46">
        <v>1500</v>
      </c>
      <c r="T23" s="46">
        <v>480</v>
      </c>
      <c r="U23" s="46">
        <v>950</v>
      </c>
      <c r="V23" s="46">
        <v>60</v>
      </c>
      <c r="W23" s="46">
        <v>0</v>
      </c>
      <c r="X23" s="46">
        <v>40000</v>
      </c>
      <c r="Y23" s="46" t="s">
        <v>267</v>
      </c>
      <c r="Z23" s="46" t="s">
        <v>309</v>
      </c>
      <c r="AA23" s="46" t="s">
        <v>309</v>
      </c>
      <c r="AB23" s="46">
        <v>2.5</v>
      </c>
    </row>
    <row r="24" spans="1:28" ht="16.5" customHeight="1">
      <c r="A24" s="46">
        <v>40022</v>
      </c>
      <c r="B24" s="46">
        <v>40000</v>
      </c>
      <c r="C24" s="46" t="s">
        <v>373</v>
      </c>
      <c r="D24" s="46">
        <v>3</v>
      </c>
      <c r="E24" s="46">
        <v>3</v>
      </c>
      <c r="F24" s="46">
        <v>50</v>
      </c>
      <c r="G24" s="46">
        <v>8</v>
      </c>
      <c r="H24" s="46">
        <v>4</v>
      </c>
      <c r="I24" s="46">
        <v>303</v>
      </c>
      <c r="J24" s="46" t="s">
        <v>377</v>
      </c>
      <c r="K24" s="46" t="s">
        <v>382</v>
      </c>
      <c r="L24" s="46" t="s">
        <v>312</v>
      </c>
      <c r="M24" s="46" t="s">
        <v>303</v>
      </c>
      <c r="N24" s="46" t="s">
        <v>304</v>
      </c>
      <c r="O24" s="46" t="s">
        <v>375</v>
      </c>
      <c r="P24" s="46" t="s">
        <v>306</v>
      </c>
      <c r="Q24" s="46" t="s">
        <v>379</v>
      </c>
      <c r="R24" s="54" t="s">
        <v>307</v>
      </c>
      <c r="S24" s="46">
        <v>1550</v>
      </c>
      <c r="T24" s="46">
        <v>480</v>
      </c>
      <c r="U24" s="46">
        <v>950</v>
      </c>
      <c r="V24" s="46">
        <v>60</v>
      </c>
      <c r="W24" s="46">
        <v>0</v>
      </c>
      <c r="X24" s="46">
        <v>40000</v>
      </c>
      <c r="Y24" s="46" t="s">
        <v>267</v>
      </c>
      <c r="Z24" s="46" t="s">
        <v>309</v>
      </c>
      <c r="AA24" s="46" t="s">
        <v>309</v>
      </c>
      <c r="AB24" s="46">
        <v>2.5</v>
      </c>
    </row>
    <row r="25" spans="1:28" ht="16.5" customHeight="1">
      <c r="A25" s="46">
        <v>40023</v>
      </c>
      <c r="B25" s="46">
        <v>40000</v>
      </c>
      <c r="C25" s="46" t="s">
        <v>373</v>
      </c>
      <c r="D25" s="46">
        <v>3</v>
      </c>
      <c r="E25" s="46">
        <v>4</v>
      </c>
      <c r="F25" s="46">
        <v>50</v>
      </c>
      <c r="G25" s="46">
        <v>8</v>
      </c>
      <c r="H25" s="46">
        <v>4</v>
      </c>
      <c r="I25" s="46">
        <v>320</v>
      </c>
      <c r="J25" s="46" t="s">
        <v>377</v>
      </c>
      <c r="K25" s="46" t="s">
        <v>382</v>
      </c>
      <c r="L25" s="46" t="s">
        <v>312</v>
      </c>
      <c r="M25" s="46" t="s">
        <v>303</v>
      </c>
      <c r="N25" s="46" t="s">
        <v>304</v>
      </c>
      <c r="O25" s="46" t="s">
        <v>375</v>
      </c>
      <c r="P25" s="46" t="s">
        <v>306</v>
      </c>
      <c r="Q25" s="46" t="s">
        <v>379</v>
      </c>
      <c r="R25" s="54" t="s">
        <v>307</v>
      </c>
      <c r="S25" s="46">
        <v>1600</v>
      </c>
      <c r="T25" s="46">
        <v>480</v>
      </c>
      <c r="U25" s="46">
        <v>950</v>
      </c>
      <c r="V25" s="46">
        <v>60</v>
      </c>
      <c r="W25" s="46">
        <v>0</v>
      </c>
      <c r="X25" s="46">
        <v>40000</v>
      </c>
      <c r="Y25" s="46" t="s">
        <v>267</v>
      </c>
      <c r="Z25" s="46" t="s">
        <v>309</v>
      </c>
      <c r="AA25" s="46" t="s">
        <v>309</v>
      </c>
      <c r="AB25" s="46">
        <v>2.5</v>
      </c>
    </row>
    <row r="26" spans="1:28" ht="16.5" customHeight="1">
      <c r="A26" s="46">
        <v>40024</v>
      </c>
      <c r="B26" s="46">
        <v>40000</v>
      </c>
      <c r="C26" s="46" t="s">
        <v>373</v>
      </c>
      <c r="D26" s="46">
        <v>3</v>
      </c>
      <c r="E26" s="46">
        <v>5</v>
      </c>
      <c r="F26" s="46">
        <v>120</v>
      </c>
      <c r="G26" s="46">
        <v>8</v>
      </c>
      <c r="H26" s="46">
        <v>5</v>
      </c>
      <c r="I26" s="46">
        <v>336</v>
      </c>
      <c r="J26" s="46" t="s">
        <v>377</v>
      </c>
      <c r="K26" s="46" t="s">
        <v>382</v>
      </c>
      <c r="L26" s="46" t="s">
        <v>312</v>
      </c>
      <c r="M26" s="46" t="s">
        <v>303</v>
      </c>
      <c r="N26" s="46" t="s">
        <v>304</v>
      </c>
      <c r="O26" s="46" t="s">
        <v>375</v>
      </c>
      <c r="P26" s="46" t="s">
        <v>306</v>
      </c>
      <c r="Q26" s="46" t="s">
        <v>379</v>
      </c>
      <c r="R26" s="54" t="s">
        <v>307</v>
      </c>
      <c r="S26" s="46">
        <v>1650</v>
      </c>
      <c r="T26" s="46">
        <v>480</v>
      </c>
      <c r="U26" s="46">
        <v>950</v>
      </c>
      <c r="V26" s="46">
        <v>60</v>
      </c>
      <c r="W26" s="46">
        <v>0</v>
      </c>
      <c r="X26" s="46">
        <v>40000</v>
      </c>
      <c r="Y26" s="46" t="s">
        <v>267</v>
      </c>
      <c r="Z26" s="46" t="s">
        <v>309</v>
      </c>
      <c r="AA26" s="46" t="s">
        <v>309</v>
      </c>
      <c r="AB26" s="46">
        <v>2.5</v>
      </c>
    </row>
    <row r="27" spans="1:28" ht="16.5" customHeight="1">
      <c r="A27" s="46">
        <v>40025</v>
      </c>
      <c r="B27" s="46">
        <v>40000</v>
      </c>
      <c r="C27" s="46" t="s">
        <v>373</v>
      </c>
      <c r="D27" s="46">
        <v>4</v>
      </c>
      <c r="E27" s="46">
        <v>0</v>
      </c>
      <c r="F27" s="46">
        <v>200</v>
      </c>
      <c r="G27" s="46">
        <v>24</v>
      </c>
      <c r="H27" s="46">
        <v>5</v>
      </c>
      <c r="I27" s="46">
        <v>356</v>
      </c>
      <c r="J27" s="46" t="s">
        <v>377</v>
      </c>
      <c r="K27" s="46" t="s">
        <v>383</v>
      </c>
      <c r="L27" s="46" t="s">
        <v>312</v>
      </c>
      <c r="M27" s="46" t="s">
        <v>303</v>
      </c>
      <c r="N27" s="46" t="s">
        <v>304</v>
      </c>
      <c r="O27" s="46" t="s">
        <v>375</v>
      </c>
      <c r="P27" s="46" t="s">
        <v>306</v>
      </c>
      <c r="Q27" s="46" t="s">
        <v>379</v>
      </c>
      <c r="R27" s="54" t="s">
        <v>307</v>
      </c>
      <c r="S27" s="46">
        <v>1700</v>
      </c>
      <c r="T27" s="46">
        <v>500</v>
      </c>
      <c r="U27" s="46">
        <v>1000</v>
      </c>
      <c r="V27" s="46">
        <v>70</v>
      </c>
      <c r="W27" s="46">
        <v>0</v>
      </c>
      <c r="X27" s="46">
        <v>40000</v>
      </c>
      <c r="Y27" s="46" t="s">
        <v>267</v>
      </c>
      <c r="Z27" s="46" t="s">
        <v>309</v>
      </c>
      <c r="AA27" s="46" t="s">
        <v>309</v>
      </c>
      <c r="AB27" s="46">
        <v>2.5</v>
      </c>
    </row>
    <row r="28" spans="1:28" ht="16.5" customHeight="1">
      <c r="A28" s="46">
        <v>40026</v>
      </c>
      <c r="B28" s="46">
        <v>40000</v>
      </c>
      <c r="C28" s="46" t="s">
        <v>373</v>
      </c>
      <c r="D28" s="46">
        <v>4</v>
      </c>
      <c r="E28" s="46">
        <v>1</v>
      </c>
      <c r="F28" s="46">
        <v>280</v>
      </c>
      <c r="G28" s="46">
        <v>24</v>
      </c>
      <c r="H28" s="46">
        <v>5</v>
      </c>
      <c r="I28" s="46">
        <v>377</v>
      </c>
      <c r="J28" s="46" t="s">
        <v>377</v>
      </c>
      <c r="K28" s="46" t="s">
        <v>383</v>
      </c>
      <c r="L28" s="46" t="s">
        <v>312</v>
      </c>
      <c r="M28" s="46" t="s">
        <v>303</v>
      </c>
      <c r="N28" s="46" t="s">
        <v>304</v>
      </c>
      <c r="O28" s="46" t="s">
        <v>375</v>
      </c>
      <c r="P28" s="46" t="s">
        <v>306</v>
      </c>
      <c r="Q28" s="46" t="s">
        <v>379</v>
      </c>
      <c r="R28" s="54" t="s">
        <v>307</v>
      </c>
      <c r="S28" s="46">
        <v>1800</v>
      </c>
      <c r="T28" s="46">
        <v>500</v>
      </c>
      <c r="U28" s="46">
        <v>1000</v>
      </c>
      <c r="V28" s="46">
        <v>70</v>
      </c>
      <c r="W28" s="46">
        <v>0</v>
      </c>
      <c r="X28" s="46">
        <v>40000</v>
      </c>
      <c r="Y28" s="46" t="s">
        <v>267</v>
      </c>
      <c r="Z28" s="46" t="s">
        <v>309</v>
      </c>
      <c r="AA28" s="46" t="s">
        <v>309</v>
      </c>
      <c r="AB28" s="46">
        <v>2.5</v>
      </c>
    </row>
    <row r="29" spans="1:28" ht="16.5" customHeight="1">
      <c r="A29" s="46">
        <v>40027</v>
      </c>
      <c r="B29" s="46">
        <v>40000</v>
      </c>
      <c r="C29" s="46" t="s">
        <v>373</v>
      </c>
      <c r="D29" s="46">
        <v>4</v>
      </c>
      <c r="E29" s="46">
        <v>2</v>
      </c>
      <c r="F29" s="46">
        <v>400</v>
      </c>
      <c r="G29" s="46">
        <v>24</v>
      </c>
      <c r="H29" s="46">
        <v>5</v>
      </c>
      <c r="I29" s="46">
        <v>398</v>
      </c>
      <c r="J29" s="46" t="s">
        <v>377</v>
      </c>
      <c r="K29" s="46" t="s">
        <v>383</v>
      </c>
      <c r="L29" s="46" t="s">
        <v>312</v>
      </c>
      <c r="M29" s="46" t="s">
        <v>303</v>
      </c>
      <c r="N29" s="46" t="s">
        <v>304</v>
      </c>
      <c r="O29" s="46" t="s">
        <v>375</v>
      </c>
      <c r="P29" s="46" t="s">
        <v>306</v>
      </c>
      <c r="Q29" s="46" t="s">
        <v>379</v>
      </c>
      <c r="R29" s="54" t="s">
        <v>307</v>
      </c>
      <c r="S29" s="46">
        <v>1900</v>
      </c>
      <c r="T29" s="46">
        <v>500</v>
      </c>
      <c r="U29" s="46">
        <v>1000</v>
      </c>
      <c r="V29" s="46">
        <v>70</v>
      </c>
      <c r="W29" s="46">
        <v>0</v>
      </c>
      <c r="X29" s="46">
        <v>40000</v>
      </c>
      <c r="Y29" s="46" t="s">
        <v>267</v>
      </c>
      <c r="Z29" s="46" t="s">
        <v>309</v>
      </c>
      <c r="AA29" s="46" t="s">
        <v>309</v>
      </c>
      <c r="AB29" s="46">
        <v>2.5</v>
      </c>
    </row>
    <row r="30" spans="1:28" ht="16.5" customHeight="1">
      <c r="A30" s="46">
        <v>40028</v>
      </c>
      <c r="B30" s="46">
        <v>40000</v>
      </c>
      <c r="C30" s="46" t="s">
        <v>373</v>
      </c>
      <c r="D30" s="46">
        <v>4</v>
      </c>
      <c r="E30" s="46">
        <v>3</v>
      </c>
      <c r="F30" s="46">
        <v>600</v>
      </c>
      <c r="G30" s="46">
        <v>24</v>
      </c>
      <c r="H30" s="46">
        <v>5</v>
      </c>
      <c r="I30" s="46">
        <v>419</v>
      </c>
      <c r="J30" s="46" t="s">
        <v>377</v>
      </c>
      <c r="K30" s="46" t="s">
        <v>383</v>
      </c>
      <c r="L30" s="46" t="s">
        <v>312</v>
      </c>
      <c r="M30" s="46" t="s">
        <v>303</v>
      </c>
      <c r="N30" s="46" t="s">
        <v>304</v>
      </c>
      <c r="O30" s="46" t="s">
        <v>375</v>
      </c>
      <c r="P30" s="46" t="s">
        <v>306</v>
      </c>
      <c r="Q30" s="46" t="s">
        <v>379</v>
      </c>
      <c r="R30" s="54" t="s">
        <v>307</v>
      </c>
      <c r="S30" s="46">
        <v>2000</v>
      </c>
      <c r="T30" s="46">
        <v>500</v>
      </c>
      <c r="U30" s="46">
        <v>1000</v>
      </c>
      <c r="V30" s="46">
        <v>70</v>
      </c>
      <c r="W30" s="46">
        <v>0</v>
      </c>
      <c r="X30" s="46">
        <v>40000</v>
      </c>
      <c r="Y30" s="46" t="s">
        <v>267</v>
      </c>
      <c r="Z30" s="46" t="s">
        <v>309</v>
      </c>
      <c r="AA30" s="46" t="s">
        <v>309</v>
      </c>
      <c r="AB30" s="46">
        <v>2.5</v>
      </c>
    </row>
    <row r="31" spans="1:28" ht="16.5" customHeight="1">
      <c r="A31" s="46">
        <v>40029</v>
      </c>
      <c r="B31" s="46">
        <v>40000</v>
      </c>
      <c r="C31" s="46" t="s">
        <v>373</v>
      </c>
      <c r="D31" s="46">
        <v>4</v>
      </c>
      <c r="E31" s="46">
        <v>4</v>
      </c>
      <c r="F31" s="46">
        <v>900</v>
      </c>
      <c r="G31" s="46">
        <v>24</v>
      </c>
      <c r="H31" s="46">
        <v>5</v>
      </c>
      <c r="I31" s="46">
        <v>439</v>
      </c>
      <c r="J31" s="46" t="s">
        <v>377</v>
      </c>
      <c r="K31" s="46" t="s">
        <v>383</v>
      </c>
      <c r="L31" s="46" t="s">
        <v>312</v>
      </c>
      <c r="M31" s="46" t="s">
        <v>303</v>
      </c>
      <c r="N31" s="46" t="s">
        <v>304</v>
      </c>
      <c r="O31" s="46" t="s">
        <v>375</v>
      </c>
      <c r="P31" s="46" t="s">
        <v>306</v>
      </c>
      <c r="Q31" s="46" t="s">
        <v>379</v>
      </c>
      <c r="R31" s="54" t="s">
        <v>307</v>
      </c>
      <c r="S31" s="46">
        <v>2100</v>
      </c>
      <c r="T31" s="46">
        <v>500</v>
      </c>
      <c r="U31" s="46">
        <v>1000</v>
      </c>
      <c r="V31" s="46">
        <v>70</v>
      </c>
      <c r="W31" s="46">
        <v>0</v>
      </c>
      <c r="X31" s="46">
        <v>40000</v>
      </c>
      <c r="Y31" s="46" t="s">
        <v>267</v>
      </c>
      <c r="Z31" s="46" t="s">
        <v>309</v>
      </c>
      <c r="AA31" s="46" t="s">
        <v>309</v>
      </c>
      <c r="AB31" s="46">
        <v>2.5</v>
      </c>
    </row>
    <row r="32" spans="1:28" ht="16.5" customHeight="1">
      <c r="A32" s="46">
        <v>40030</v>
      </c>
      <c r="B32" s="46">
        <v>40000</v>
      </c>
      <c r="C32" s="46" t="s">
        <v>373</v>
      </c>
      <c r="D32" s="46">
        <v>4</v>
      </c>
      <c r="E32" s="46">
        <v>5</v>
      </c>
      <c r="F32" s="46">
        <v>1300</v>
      </c>
      <c r="G32" s="46">
        <v>48</v>
      </c>
      <c r="H32" s="46">
        <v>6</v>
      </c>
      <c r="I32" s="46">
        <v>460</v>
      </c>
      <c r="J32" s="46" t="s">
        <v>377</v>
      </c>
      <c r="K32" s="46" t="s">
        <v>383</v>
      </c>
      <c r="L32" s="46" t="s">
        <v>312</v>
      </c>
      <c r="M32" s="46" t="s">
        <v>303</v>
      </c>
      <c r="N32" s="46" t="s">
        <v>304</v>
      </c>
      <c r="O32" s="46" t="s">
        <v>375</v>
      </c>
      <c r="P32" s="46" t="s">
        <v>306</v>
      </c>
      <c r="Q32" s="46" t="s">
        <v>379</v>
      </c>
      <c r="R32" s="54" t="s">
        <v>307</v>
      </c>
      <c r="S32" s="46">
        <v>2200</v>
      </c>
      <c r="T32" s="46">
        <v>500</v>
      </c>
      <c r="U32" s="46">
        <v>1000</v>
      </c>
      <c r="V32" s="46">
        <v>70</v>
      </c>
      <c r="W32" s="46">
        <v>0</v>
      </c>
      <c r="X32" s="46">
        <v>40000</v>
      </c>
      <c r="Y32" s="46" t="s">
        <v>267</v>
      </c>
      <c r="Z32" s="46" t="s">
        <v>309</v>
      </c>
      <c r="AA32" s="46" t="s">
        <v>309</v>
      </c>
      <c r="AB32" s="46">
        <v>2.5</v>
      </c>
    </row>
    <row r="33" spans="1:28" ht="16.5" customHeight="1">
      <c r="A33" s="46">
        <v>40031</v>
      </c>
      <c r="B33" s="46">
        <v>40000</v>
      </c>
      <c r="C33" s="46" t="s">
        <v>373</v>
      </c>
      <c r="D33" s="46">
        <v>5</v>
      </c>
      <c r="E33" s="46">
        <v>0</v>
      </c>
      <c r="F33" s="46">
        <v>1800</v>
      </c>
      <c r="G33" s="46">
        <v>48</v>
      </c>
      <c r="H33" s="46">
        <v>6</v>
      </c>
      <c r="I33" s="46">
        <v>482</v>
      </c>
      <c r="J33" s="46" t="s">
        <v>377</v>
      </c>
      <c r="K33" s="46" t="s">
        <v>384</v>
      </c>
      <c r="L33" s="46" t="s">
        <v>312</v>
      </c>
      <c r="M33" s="46" t="s">
        <v>303</v>
      </c>
      <c r="N33" s="46" t="s">
        <v>304</v>
      </c>
      <c r="O33" s="46" t="s">
        <v>375</v>
      </c>
      <c r="P33" s="46" t="s">
        <v>306</v>
      </c>
      <c r="Q33" s="46" t="s">
        <v>379</v>
      </c>
      <c r="R33" s="54" t="s">
        <v>307</v>
      </c>
      <c r="S33" s="46">
        <v>2300</v>
      </c>
      <c r="T33" s="46">
        <v>550</v>
      </c>
      <c r="U33" s="46">
        <v>1100</v>
      </c>
      <c r="V33" s="46">
        <v>75</v>
      </c>
      <c r="W33" s="46">
        <v>0</v>
      </c>
      <c r="X33" s="46">
        <v>40000</v>
      </c>
      <c r="Y33" s="46" t="s">
        <v>267</v>
      </c>
      <c r="Z33" s="46" t="s">
        <v>309</v>
      </c>
      <c r="AA33" s="46" t="s">
        <v>309</v>
      </c>
      <c r="AB33" s="46">
        <v>2.5</v>
      </c>
    </row>
    <row r="34" spans="1:28" ht="16.5" customHeight="1">
      <c r="A34" s="46">
        <v>40032</v>
      </c>
      <c r="B34" s="46">
        <v>40000</v>
      </c>
      <c r="C34" s="46" t="s">
        <v>373</v>
      </c>
      <c r="D34" s="46">
        <v>5</v>
      </c>
      <c r="E34" s="46">
        <v>1</v>
      </c>
      <c r="F34" s="46">
        <v>2400</v>
      </c>
      <c r="G34" s="46">
        <v>48</v>
      </c>
      <c r="H34" s="46">
        <v>6</v>
      </c>
      <c r="I34" s="46">
        <v>505</v>
      </c>
      <c r="J34" s="46" t="s">
        <v>377</v>
      </c>
      <c r="K34" s="46" t="s">
        <v>384</v>
      </c>
      <c r="L34" s="46" t="s">
        <v>312</v>
      </c>
      <c r="M34" s="46" t="s">
        <v>303</v>
      </c>
      <c r="N34" s="46" t="s">
        <v>304</v>
      </c>
      <c r="O34" s="46" t="s">
        <v>375</v>
      </c>
      <c r="P34" s="46" t="s">
        <v>306</v>
      </c>
      <c r="Q34" s="46" t="s">
        <v>379</v>
      </c>
      <c r="R34" s="54" t="s">
        <v>307</v>
      </c>
      <c r="S34" s="46">
        <v>2400</v>
      </c>
      <c r="T34" s="46">
        <v>550</v>
      </c>
      <c r="U34" s="46">
        <v>1100</v>
      </c>
      <c r="V34" s="46">
        <v>75</v>
      </c>
      <c r="W34" s="46">
        <v>0</v>
      </c>
      <c r="X34" s="46">
        <v>40000</v>
      </c>
      <c r="Y34" s="46" t="s">
        <v>267</v>
      </c>
      <c r="Z34" s="46" t="s">
        <v>309</v>
      </c>
      <c r="AA34" s="46" t="s">
        <v>309</v>
      </c>
      <c r="AB34" s="46">
        <v>2.5</v>
      </c>
    </row>
    <row r="35" spans="1:28" ht="16.5" customHeight="1">
      <c r="A35" s="46">
        <v>40033</v>
      </c>
      <c r="B35" s="46">
        <v>40000</v>
      </c>
      <c r="C35" s="46" t="s">
        <v>373</v>
      </c>
      <c r="D35" s="46">
        <v>5</v>
      </c>
      <c r="E35" s="46">
        <v>2</v>
      </c>
      <c r="F35" s="46">
        <v>3100</v>
      </c>
      <c r="G35" s="46">
        <v>48</v>
      </c>
      <c r="H35" s="46">
        <v>6</v>
      </c>
      <c r="I35" s="46">
        <v>527</v>
      </c>
      <c r="J35" s="46" t="s">
        <v>377</v>
      </c>
      <c r="K35" s="46" t="s">
        <v>384</v>
      </c>
      <c r="L35" s="46" t="s">
        <v>312</v>
      </c>
      <c r="M35" s="46" t="s">
        <v>303</v>
      </c>
      <c r="N35" s="46" t="s">
        <v>304</v>
      </c>
      <c r="O35" s="46" t="s">
        <v>375</v>
      </c>
      <c r="P35" s="46" t="s">
        <v>306</v>
      </c>
      <c r="Q35" s="46" t="s">
        <v>379</v>
      </c>
      <c r="R35" s="54" t="s">
        <v>307</v>
      </c>
      <c r="S35" s="46">
        <v>2500</v>
      </c>
      <c r="T35" s="46">
        <v>550</v>
      </c>
      <c r="U35" s="46">
        <v>1100</v>
      </c>
      <c r="V35" s="46">
        <v>75</v>
      </c>
      <c r="W35" s="46">
        <v>0</v>
      </c>
      <c r="X35" s="46">
        <v>40000</v>
      </c>
      <c r="Y35" s="46" t="s">
        <v>267</v>
      </c>
      <c r="Z35" s="46" t="s">
        <v>309</v>
      </c>
      <c r="AA35" s="46" t="s">
        <v>309</v>
      </c>
      <c r="AB35" s="46">
        <v>2.5</v>
      </c>
    </row>
    <row r="36" spans="1:28" ht="16.5" customHeight="1">
      <c r="A36" s="46">
        <v>40034</v>
      </c>
      <c r="B36" s="46">
        <v>40000</v>
      </c>
      <c r="C36" s="46" t="s">
        <v>373</v>
      </c>
      <c r="D36" s="46">
        <v>5</v>
      </c>
      <c r="E36" s="46">
        <v>3</v>
      </c>
      <c r="F36" s="46">
        <v>4000</v>
      </c>
      <c r="G36" s="46">
        <v>48</v>
      </c>
      <c r="H36" s="46">
        <v>6</v>
      </c>
      <c r="I36" s="46">
        <v>550</v>
      </c>
      <c r="J36" s="46" t="s">
        <v>377</v>
      </c>
      <c r="K36" s="46" t="s">
        <v>384</v>
      </c>
      <c r="L36" s="46" t="s">
        <v>312</v>
      </c>
      <c r="M36" s="46" t="s">
        <v>303</v>
      </c>
      <c r="N36" s="46" t="s">
        <v>304</v>
      </c>
      <c r="O36" s="46" t="s">
        <v>375</v>
      </c>
      <c r="P36" s="46" t="s">
        <v>306</v>
      </c>
      <c r="Q36" s="46" t="s">
        <v>379</v>
      </c>
      <c r="R36" s="54" t="s">
        <v>307</v>
      </c>
      <c r="S36" s="46">
        <v>2600</v>
      </c>
      <c r="T36" s="46">
        <v>550</v>
      </c>
      <c r="U36" s="46">
        <v>1100</v>
      </c>
      <c r="V36" s="46">
        <v>75</v>
      </c>
      <c r="W36" s="46">
        <v>0</v>
      </c>
      <c r="X36" s="46">
        <v>40000</v>
      </c>
      <c r="Y36" s="46" t="s">
        <v>267</v>
      </c>
      <c r="Z36" s="46" t="s">
        <v>309</v>
      </c>
      <c r="AA36" s="46" t="s">
        <v>309</v>
      </c>
      <c r="AB36" s="46">
        <v>2.5</v>
      </c>
    </row>
    <row r="37" spans="1:28" ht="16.5" customHeight="1">
      <c r="A37" s="46">
        <v>40035</v>
      </c>
      <c r="B37" s="46">
        <v>40000</v>
      </c>
      <c r="C37" s="46" t="s">
        <v>373</v>
      </c>
      <c r="D37" s="46">
        <v>5</v>
      </c>
      <c r="E37" s="46">
        <v>4</v>
      </c>
      <c r="F37" s="46">
        <v>5000</v>
      </c>
      <c r="G37" s="46">
        <v>48</v>
      </c>
      <c r="H37" s="46">
        <v>6</v>
      </c>
      <c r="I37" s="46">
        <v>572</v>
      </c>
      <c r="J37" s="46" t="s">
        <v>377</v>
      </c>
      <c r="K37" s="46" t="s">
        <v>384</v>
      </c>
      <c r="L37" s="46" t="s">
        <v>312</v>
      </c>
      <c r="M37" s="46" t="s">
        <v>303</v>
      </c>
      <c r="N37" s="46" t="s">
        <v>304</v>
      </c>
      <c r="O37" s="46" t="s">
        <v>375</v>
      </c>
      <c r="P37" s="46" t="s">
        <v>306</v>
      </c>
      <c r="Q37" s="46" t="s">
        <v>379</v>
      </c>
      <c r="R37" s="54" t="s">
        <v>307</v>
      </c>
      <c r="S37" s="46">
        <v>2700</v>
      </c>
      <c r="T37" s="46">
        <v>550</v>
      </c>
      <c r="U37" s="46">
        <v>1100</v>
      </c>
      <c r="V37" s="46">
        <v>75</v>
      </c>
      <c r="W37" s="46">
        <v>0</v>
      </c>
      <c r="X37" s="46">
        <v>40000</v>
      </c>
      <c r="Y37" s="46" t="s">
        <v>267</v>
      </c>
      <c r="Z37" s="46" t="s">
        <v>309</v>
      </c>
      <c r="AA37" s="46" t="s">
        <v>309</v>
      </c>
      <c r="AB37" s="46">
        <v>2.5</v>
      </c>
    </row>
    <row r="38" spans="1:28" ht="16.5" customHeight="1">
      <c r="A38" s="46">
        <v>40036</v>
      </c>
      <c r="B38" s="46">
        <v>40000</v>
      </c>
      <c r="C38" s="46" t="s">
        <v>373</v>
      </c>
      <c r="D38" s="46">
        <v>5</v>
      </c>
      <c r="E38" s="46">
        <v>5</v>
      </c>
      <c r="F38" s="46">
        <v>0</v>
      </c>
      <c r="G38" s="46">
        <v>0</v>
      </c>
      <c r="H38" s="46">
        <v>6</v>
      </c>
      <c r="I38" s="46">
        <v>595</v>
      </c>
      <c r="J38" s="46" t="s">
        <v>377</v>
      </c>
      <c r="K38" s="46" t="s">
        <v>384</v>
      </c>
      <c r="L38" s="46" t="s">
        <v>312</v>
      </c>
      <c r="M38" s="46" t="s">
        <v>303</v>
      </c>
      <c r="N38" s="46" t="s">
        <v>304</v>
      </c>
      <c r="O38" s="46" t="s">
        <v>375</v>
      </c>
      <c r="P38" s="46" t="s">
        <v>306</v>
      </c>
      <c r="Q38" s="46" t="s">
        <v>379</v>
      </c>
      <c r="R38" s="54" t="s">
        <v>307</v>
      </c>
      <c r="S38" s="46">
        <v>2800</v>
      </c>
      <c r="T38" s="46">
        <v>550</v>
      </c>
      <c r="U38" s="46">
        <v>1100</v>
      </c>
      <c r="V38" s="46">
        <v>75</v>
      </c>
      <c r="W38" s="46">
        <v>0</v>
      </c>
      <c r="X38" s="46">
        <v>40000</v>
      </c>
      <c r="Y38" s="46" t="s">
        <v>267</v>
      </c>
      <c r="Z38" s="46" t="s">
        <v>309</v>
      </c>
      <c r="AA38" s="46" t="s">
        <v>309</v>
      </c>
      <c r="AB38" s="46">
        <v>2.5</v>
      </c>
    </row>
    <row r="39" spans="1:28" ht="16.5" customHeight="1">
      <c r="A39" s="46">
        <v>40101</v>
      </c>
      <c r="B39" s="46">
        <v>40100</v>
      </c>
      <c r="C39" s="46" t="s">
        <v>373</v>
      </c>
      <c r="D39" s="46">
        <v>0</v>
      </c>
      <c r="E39" s="46">
        <v>0</v>
      </c>
      <c r="F39" s="46">
        <v>7</v>
      </c>
      <c r="G39" s="46">
        <v>1</v>
      </c>
      <c r="H39" s="46">
        <v>2</v>
      </c>
      <c r="I39" s="46">
        <v>132</v>
      </c>
      <c r="J39" s="46" t="s">
        <v>385</v>
      </c>
      <c r="K39" s="46" t="s">
        <v>386</v>
      </c>
      <c r="L39" s="46" t="s">
        <v>312</v>
      </c>
      <c r="M39" s="46" t="s">
        <v>303</v>
      </c>
      <c r="N39" s="46" t="s">
        <v>304</v>
      </c>
      <c r="O39" s="46" t="s">
        <v>375</v>
      </c>
      <c r="P39" s="46" t="s">
        <v>306</v>
      </c>
      <c r="Q39" s="46" t="s">
        <v>379</v>
      </c>
      <c r="R39" s="54" t="s">
        <v>307</v>
      </c>
      <c r="S39" s="46">
        <v>350</v>
      </c>
      <c r="T39" s="46">
        <v>270</v>
      </c>
      <c r="U39" s="46">
        <v>900</v>
      </c>
      <c r="V39" s="46">
        <v>60</v>
      </c>
      <c r="W39" s="46">
        <v>0</v>
      </c>
      <c r="X39" s="46">
        <v>40100</v>
      </c>
      <c r="Y39" s="46" t="s">
        <v>267</v>
      </c>
      <c r="Z39" s="46" t="s">
        <v>309</v>
      </c>
      <c r="AA39" s="46" t="s">
        <v>309</v>
      </c>
      <c r="AB39" s="46">
        <v>2.5</v>
      </c>
    </row>
    <row r="40" spans="1:28" ht="16.5" customHeight="1">
      <c r="A40" s="46">
        <v>40102</v>
      </c>
      <c r="B40" s="46">
        <v>40100</v>
      </c>
      <c r="C40" s="46" t="s">
        <v>373</v>
      </c>
      <c r="D40" s="46">
        <v>0</v>
      </c>
      <c r="E40" s="46">
        <v>1</v>
      </c>
      <c r="F40" s="46">
        <v>7</v>
      </c>
      <c r="G40" s="46">
        <v>1</v>
      </c>
      <c r="H40" s="46">
        <v>2</v>
      </c>
      <c r="I40" s="46">
        <v>143</v>
      </c>
      <c r="J40" s="46" t="s">
        <v>385</v>
      </c>
      <c r="K40" s="46" t="s">
        <v>386</v>
      </c>
      <c r="L40" s="46" t="s">
        <v>312</v>
      </c>
      <c r="M40" s="46" t="s">
        <v>303</v>
      </c>
      <c r="N40" s="46" t="s">
        <v>304</v>
      </c>
      <c r="O40" s="46" t="s">
        <v>375</v>
      </c>
      <c r="P40" s="46" t="s">
        <v>306</v>
      </c>
      <c r="Q40" s="46" t="s">
        <v>379</v>
      </c>
      <c r="R40" s="54" t="s">
        <v>307</v>
      </c>
      <c r="S40" s="46">
        <v>410</v>
      </c>
      <c r="T40" s="46">
        <v>270</v>
      </c>
      <c r="U40" s="46">
        <v>900</v>
      </c>
      <c r="V40" s="46">
        <v>60</v>
      </c>
      <c r="W40" s="46">
        <v>0</v>
      </c>
      <c r="X40" s="46">
        <v>40100</v>
      </c>
      <c r="Y40" s="46" t="s">
        <v>267</v>
      </c>
      <c r="Z40" s="46" t="s">
        <v>309</v>
      </c>
      <c r="AA40" s="46" t="s">
        <v>309</v>
      </c>
      <c r="AB40" s="46">
        <v>2.5</v>
      </c>
    </row>
    <row r="41" spans="1:28" ht="16.5" customHeight="1">
      <c r="A41" s="46">
        <v>40103</v>
      </c>
      <c r="B41" s="46">
        <v>40100</v>
      </c>
      <c r="C41" s="46" t="s">
        <v>373</v>
      </c>
      <c r="D41" s="46">
        <v>0</v>
      </c>
      <c r="E41" s="46">
        <v>2</v>
      </c>
      <c r="F41" s="46">
        <v>7</v>
      </c>
      <c r="G41" s="46">
        <v>1</v>
      </c>
      <c r="H41" s="46">
        <v>2</v>
      </c>
      <c r="I41" s="46">
        <v>154</v>
      </c>
      <c r="J41" s="46" t="s">
        <v>385</v>
      </c>
      <c r="K41" s="46" t="s">
        <v>386</v>
      </c>
      <c r="L41" s="46" t="s">
        <v>312</v>
      </c>
      <c r="M41" s="46" t="s">
        <v>303</v>
      </c>
      <c r="N41" s="46" t="s">
        <v>304</v>
      </c>
      <c r="O41" s="46" t="s">
        <v>375</v>
      </c>
      <c r="P41" s="46" t="s">
        <v>306</v>
      </c>
      <c r="Q41" s="46" t="s">
        <v>379</v>
      </c>
      <c r="R41" s="54" t="s">
        <v>307</v>
      </c>
      <c r="S41" s="46">
        <v>470</v>
      </c>
      <c r="T41" s="46">
        <v>270</v>
      </c>
      <c r="U41" s="46">
        <v>900</v>
      </c>
      <c r="V41" s="46">
        <v>60</v>
      </c>
      <c r="W41" s="46">
        <v>0</v>
      </c>
      <c r="X41" s="46">
        <v>40100</v>
      </c>
      <c r="Y41" s="46" t="s">
        <v>267</v>
      </c>
      <c r="Z41" s="46" t="s">
        <v>309</v>
      </c>
      <c r="AA41" s="46" t="s">
        <v>309</v>
      </c>
      <c r="AB41" s="46">
        <v>2.5</v>
      </c>
    </row>
    <row r="42" spans="1:28" ht="16.5" customHeight="1">
      <c r="A42" s="46">
        <v>40104</v>
      </c>
      <c r="B42" s="46">
        <v>40100</v>
      </c>
      <c r="C42" s="46" t="s">
        <v>373</v>
      </c>
      <c r="D42" s="46">
        <v>0</v>
      </c>
      <c r="E42" s="46">
        <v>3</v>
      </c>
      <c r="F42" s="46">
        <v>7</v>
      </c>
      <c r="G42" s="46">
        <v>1</v>
      </c>
      <c r="H42" s="46">
        <v>2</v>
      </c>
      <c r="I42" s="46">
        <v>165</v>
      </c>
      <c r="J42" s="46" t="s">
        <v>385</v>
      </c>
      <c r="K42" s="46" t="s">
        <v>386</v>
      </c>
      <c r="L42" s="46" t="s">
        <v>312</v>
      </c>
      <c r="M42" s="46" t="s">
        <v>303</v>
      </c>
      <c r="N42" s="46" t="s">
        <v>304</v>
      </c>
      <c r="O42" s="46" t="s">
        <v>375</v>
      </c>
      <c r="P42" s="46" t="s">
        <v>306</v>
      </c>
      <c r="Q42" s="46" t="s">
        <v>379</v>
      </c>
      <c r="R42" s="54" t="s">
        <v>307</v>
      </c>
      <c r="S42" s="46">
        <v>530</v>
      </c>
      <c r="T42" s="46">
        <v>270</v>
      </c>
      <c r="U42" s="46">
        <v>900</v>
      </c>
      <c r="V42" s="46">
        <v>60</v>
      </c>
      <c r="W42" s="46">
        <v>0</v>
      </c>
      <c r="X42" s="46">
        <v>40100</v>
      </c>
      <c r="Y42" s="46" t="s">
        <v>267</v>
      </c>
      <c r="Z42" s="46" t="s">
        <v>309</v>
      </c>
      <c r="AA42" s="46" t="s">
        <v>309</v>
      </c>
      <c r="AB42" s="46">
        <v>2.5</v>
      </c>
    </row>
    <row r="43" spans="1:28" ht="16.5" customHeight="1">
      <c r="A43" s="46">
        <v>40105</v>
      </c>
      <c r="B43" s="46">
        <v>40100</v>
      </c>
      <c r="C43" s="46" t="s">
        <v>373</v>
      </c>
      <c r="D43" s="46">
        <v>0</v>
      </c>
      <c r="E43" s="46">
        <v>4</v>
      </c>
      <c r="F43" s="46">
        <v>7</v>
      </c>
      <c r="G43" s="46">
        <v>1</v>
      </c>
      <c r="H43" s="46">
        <v>2</v>
      </c>
      <c r="I43" s="46">
        <v>176</v>
      </c>
      <c r="J43" s="46" t="s">
        <v>385</v>
      </c>
      <c r="K43" s="46" t="s">
        <v>386</v>
      </c>
      <c r="L43" s="46" t="s">
        <v>312</v>
      </c>
      <c r="M43" s="46" t="s">
        <v>303</v>
      </c>
      <c r="N43" s="46" t="s">
        <v>304</v>
      </c>
      <c r="O43" s="46" t="s">
        <v>375</v>
      </c>
      <c r="P43" s="46" t="s">
        <v>306</v>
      </c>
      <c r="Q43" s="46" t="s">
        <v>379</v>
      </c>
      <c r="R43" s="54" t="s">
        <v>307</v>
      </c>
      <c r="S43" s="46">
        <v>590</v>
      </c>
      <c r="T43" s="46">
        <v>270</v>
      </c>
      <c r="U43" s="46">
        <v>900</v>
      </c>
      <c r="V43" s="46">
        <v>60</v>
      </c>
      <c r="W43" s="46">
        <v>0</v>
      </c>
      <c r="X43" s="46">
        <v>40100</v>
      </c>
      <c r="Y43" s="46" t="s">
        <v>267</v>
      </c>
      <c r="Z43" s="46" t="s">
        <v>309</v>
      </c>
      <c r="AA43" s="46" t="s">
        <v>309</v>
      </c>
      <c r="AB43" s="46">
        <v>2.5</v>
      </c>
    </row>
    <row r="44" spans="1:28" ht="16.5" customHeight="1">
      <c r="A44" s="46">
        <v>40106</v>
      </c>
      <c r="B44" s="46">
        <v>40100</v>
      </c>
      <c r="C44" s="46" t="s">
        <v>373</v>
      </c>
      <c r="D44" s="46">
        <v>0</v>
      </c>
      <c r="E44" s="46">
        <v>5</v>
      </c>
      <c r="F44" s="46">
        <v>15</v>
      </c>
      <c r="G44" s="46">
        <v>1</v>
      </c>
      <c r="H44" s="46">
        <v>2</v>
      </c>
      <c r="I44" s="46">
        <v>187.00000000000003</v>
      </c>
      <c r="J44" s="46" t="s">
        <v>385</v>
      </c>
      <c r="K44" s="46" t="s">
        <v>386</v>
      </c>
      <c r="L44" s="46" t="s">
        <v>312</v>
      </c>
      <c r="M44" s="46" t="s">
        <v>303</v>
      </c>
      <c r="N44" s="46" t="s">
        <v>304</v>
      </c>
      <c r="O44" s="46" t="s">
        <v>375</v>
      </c>
      <c r="P44" s="46" t="s">
        <v>306</v>
      </c>
      <c r="Q44" s="46" t="s">
        <v>379</v>
      </c>
      <c r="R44" s="54" t="s">
        <v>307</v>
      </c>
      <c r="S44" s="46">
        <v>650</v>
      </c>
      <c r="T44" s="46">
        <v>270</v>
      </c>
      <c r="U44" s="46">
        <v>900</v>
      </c>
      <c r="V44" s="46">
        <v>60</v>
      </c>
      <c r="W44" s="46">
        <v>0</v>
      </c>
      <c r="X44" s="46">
        <v>40100</v>
      </c>
      <c r="Y44" s="46" t="s">
        <v>267</v>
      </c>
      <c r="Z44" s="46" t="s">
        <v>309</v>
      </c>
      <c r="AA44" s="46" t="s">
        <v>309</v>
      </c>
      <c r="AB44" s="46">
        <v>2.5</v>
      </c>
    </row>
    <row r="45" spans="1:28" ht="16.5" customHeight="1">
      <c r="A45" s="46">
        <v>40107</v>
      </c>
      <c r="B45" s="46">
        <v>40100</v>
      </c>
      <c r="C45" s="46" t="s">
        <v>373</v>
      </c>
      <c r="D45" s="46">
        <v>1</v>
      </c>
      <c r="E45" s="46">
        <v>0</v>
      </c>
      <c r="F45" s="46">
        <v>15</v>
      </c>
      <c r="G45" s="46">
        <v>2</v>
      </c>
      <c r="H45" s="46">
        <v>2</v>
      </c>
      <c r="I45" s="46">
        <v>198.00000000000003</v>
      </c>
      <c r="J45" s="46" t="s">
        <v>385</v>
      </c>
      <c r="K45" s="46" t="s">
        <v>387</v>
      </c>
      <c r="L45" s="46" t="s">
        <v>312</v>
      </c>
      <c r="M45" s="46" t="s">
        <v>303</v>
      </c>
      <c r="N45" s="46" t="s">
        <v>304</v>
      </c>
      <c r="O45" s="46" t="s">
        <v>375</v>
      </c>
      <c r="P45" s="46" t="s">
        <v>306</v>
      </c>
      <c r="Q45" s="46" t="s">
        <v>379</v>
      </c>
      <c r="R45" s="54" t="s">
        <v>307</v>
      </c>
      <c r="S45" s="46">
        <v>710</v>
      </c>
      <c r="T45" s="46">
        <v>300</v>
      </c>
      <c r="U45" s="46">
        <v>970</v>
      </c>
      <c r="V45" s="46">
        <v>70</v>
      </c>
      <c r="W45" s="46">
        <v>0</v>
      </c>
      <c r="X45" s="46">
        <v>40100</v>
      </c>
      <c r="Y45" s="46" t="s">
        <v>267</v>
      </c>
      <c r="Z45" s="46" t="s">
        <v>309</v>
      </c>
      <c r="AA45" s="46" t="s">
        <v>309</v>
      </c>
      <c r="AB45" s="46">
        <v>2.5</v>
      </c>
    </row>
    <row r="46" spans="1:28" ht="16.5" customHeight="1">
      <c r="A46" s="46">
        <v>40108</v>
      </c>
      <c r="B46" s="46">
        <v>40100</v>
      </c>
      <c r="C46" s="46" t="s">
        <v>373</v>
      </c>
      <c r="D46" s="46">
        <v>1</v>
      </c>
      <c r="E46" s="46">
        <v>1</v>
      </c>
      <c r="F46" s="46">
        <v>15</v>
      </c>
      <c r="G46" s="46">
        <v>2</v>
      </c>
      <c r="H46" s="46">
        <v>2</v>
      </c>
      <c r="I46" s="46">
        <v>209.00000000000003</v>
      </c>
      <c r="J46" s="46" t="s">
        <v>385</v>
      </c>
      <c r="K46" s="46" t="s">
        <v>387</v>
      </c>
      <c r="L46" s="46" t="s">
        <v>312</v>
      </c>
      <c r="M46" s="46" t="s">
        <v>303</v>
      </c>
      <c r="N46" s="46" t="s">
        <v>304</v>
      </c>
      <c r="O46" s="46" t="s">
        <v>375</v>
      </c>
      <c r="P46" s="46" t="s">
        <v>306</v>
      </c>
      <c r="Q46" s="46" t="s">
        <v>379</v>
      </c>
      <c r="R46" s="54" t="s">
        <v>307</v>
      </c>
      <c r="S46" s="46">
        <v>770</v>
      </c>
      <c r="T46" s="46">
        <v>300</v>
      </c>
      <c r="U46" s="46">
        <v>970</v>
      </c>
      <c r="V46" s="46">
        <v>70</v>
      </c>
      <c r="W46" s="46">
        <v>0</v>
      </c>
      <c r="X46" s="46">
        <v>40100</v>
      </c>
      <c r="Y46" s="46" t="s">
        <v>267</v>
      </c>
      <c r="Z46" s="46" t="s">
        <v>309</v>
      </c>
      <c r="AA46" s="46" t="s">
        <v>309</v>
      </c>
      <c r="AB46" s="46">
        <v>2.5</v>
      </c>
    </row>
    <row r="47" spans="1:28" ht="16.5" customHeight="1">
      <c r="A47" s="46">
        <v>40109</v>
      </c>
      <c r="B47" s="46">
        <v>40100</v>
      </c>
      <c r="C47" s="46" t="s">
        <v>373</v>
      </c>
      <c r="D47" s="46">
        <v>1</v>
      </c>
      <c r="E47" s="46">
        <v>2</v>
      </c>
      <c r="F47" s="46">
        <v>15</v>
      </c>
      <c r="G47" s="46">
        <v>2</v>
      </c>
      <c r="H47" s="46">
        <v>2</v>
      </c>
      <c r="I47" s="46">
        <v>220.00000000000003</v>
      </c>
      <c r="J47" s="46" t="s">
        <v>385</v>
      </c>
      <c r="K47" s="46" t="s">
        <v>387</v>
      </c>
      <c r="L47" s="46" t="s">
        <v>312</v>
      </c>
      <c r="M47" s="46" t="s">
        <v>303</v>
      </c>
      <c r="N47" s="46" t="s">
        <v>304</v>
      </c>
      <c r="O47" s="46" t="s">
        <v>375</v>
      </c>
      <c r="P47" s="46" t="s">
        <v>306</v>
      </c>
      <c r="Q47" s="46" t="s">
        <v>379</v>
      </c>
      <c r="R47" s="54" t="s">
        <v>307</v>
      </c>
      <c r="S47" s="46">
        <v>830</v>
      </c>
      <c r="T47" s="46">
        <v>300</v>
      </c>
      <c r="U47" s="46">
        <v>970</v>
      </c>
      <c r="V47" s="46">
        <v>70</v>
      </c>
      <c r="W47" s="46">
        <v>0</v>
      </c>
      <c r="X47" s="46">
        <v>40100</v>
      </c>
      <c r="Y47" s="46" t="s">
        <v>267</v>
      </c>
      <c r="Z47" s="46" t="s">
        <v>309</v>
      </c>
      <c r="AA47" s="46" t="s">
        <v>309</v>
      </c>
      <c r="AB47" s="46">
        <v>2.5</v>
      </c>
    </row>
    <row r="48" spans="1:28" ht="16.5" customHeight="1">
      <c r="A48" s="46">
        <v>40110</v>
      </c>
      <c r="B48" s="46">
        <v>40100</v>
      </c>
      <c r="C48" s="46" t="s">
        <v>373</v>
      </c>
      <c r="D48" s="46">
        <v>1</v>
      </c>
      <c r="E48" s="46">
        <v>3</v>
      </c>
      <c r="F48" s="46">
        <v>15</v>
      </c>
      <c r="G48" s="46">
        <v>2</v>
      </c>
      <c r="H48" s="46">
        <v>2</v>
      </c>
      <c r="I48" s="46">
        <v>231.00000000000003</v>
      </c>
      <c r="J48" s="46" t="s">
        <v>385</v>
      </c>
      <c r="K48" s="46" t="s">
        <v>387</v>
      </c>
      <c r="L48" s="46" t="s">
        <v>312</v>
      </c>
      <c r="M48" s="46" t="s">
        <v>303</v>
      </c>
      <c r="N48" s="46" t="s">
        <v>304</v>
      </c>
      <c r="O48" s="46" t="s">
        <v>375</v>
      </c>
      <c r="P48" s="46" t="s">
        <v>306</v>
      </c>
      <c r="Q48" s="46" t="s">
        <v>379</v>
      </c>
      <c r="R48" s="54" t="s">
        <v>307</v>
      </c>
      <c r="S48" s="46">
        <v>890</v>
      </c>
      <c r="T48" s="46">
        <v>300</v>
      </c>
      <c r="U48" s="46">
        <v>970</v>
      </c>
      <c r="V48" s="46">
        <v>70</v>
      </c>
      <c r="W48" s="46">
        <v>0</v>
      </c>
      <c r="X48" s="46">
        <v>40100</v>
      </c>
      <c r="Y48" s="46" t="s">
        <v>267</v>
      </c>
      <c r="Z48" s="46" t="s">
        <v>309</v>
      </c>
      <c r="AA48" s="46" t="s">
        <v>309</v>
      </c>
      <c r="AB48" s="46">
        <v>2.5</v>
      </c>
    </row>
    <row r="49" spans="1:28" ht="16.5" customHeight="1">
      <c r="A49" s="46">
        <v>40111</v>
      </c>
      <c r="B49" s="46">
        <v>40100</v>
      </c>
      <c r="C49" s="46" t="s">
        <v>373</v>
      </c>
      <c r="D49" s="46">
        <v>1</v>
      </c>
      <c r="E49" s="46">
        <v>4</v>
      </c>
      <c r="F49" s="46">
        <v>15</v>
      </c>
      <c r="G49" s="46">
        <v>2</v>
      </c>
      <c r="H49" s="46">
        <v>2</v>
      </c>
      <c r="I49" s="46">
        <v>242.00000000000003</v>
      </c>
      <c r="J49" s="46" t="s">
        <v>385</v>
      </c>
      <c r="K49" s="46" t="s">
        <v>387</v>
      </c>
      <c r="L49" s="46" t="s">
        <v>312</v>
      </c>
      <c r="M49" s="46" t="s">
        <v>303</v>
      </c>
      <c r="N49" s="46" t="s">
        <v>304</v>
      </c>
      <c r="O49" s="46" t="s">
        <v>375</v>
      </c>
      <c r="P49" s="46" t="s">
        <v>306</v>
      </c>
      <c r="Q49" s="46" t="s">
        <v>379</v>
      </c>
      <c r="R49" s="54" t="s">
        <v>307</v>
      </c>
      <c r="S49" s="46">
        <v>950</v>
      </c>
      <c r="T49" s="46">
        <v>300</v>
      </c>
      <c r="U49" s="46">
        <v>970</v>
      </c>
      <c r="V49" s="46">
        <v>70</v>
      </c>
      <c r="W49" s="46">
        <v>0</v>
      </c>
      <c r="X49" s="46">
        <v>40100</v>
      </c>
      <c r="Y49" s="46" t="s">
        <v>267</v>
      </c>
      <c r="Z49" s="46" t="s">
        <v>309</v>
      </c>
      <c r="AA49" s="46" t="s">
        <v>309</v>
      </c>
      <c r="AB49" s="46">
        <v>2.5</v>
      </c>
    </row>
    <row r="50" spans="1:28" ht="16.5" customHeight="1">
      <c r="A50" s="46">
        <v>40112</v>
      </c>
      <c r="B50" s="46">
        <v>40100</v>
      </c>
      <c r="C50" s="46" t="s">
        <v>373</v>
      </c>
      <c r="D50" s="46">
        <v>1</v>
      </c>
      <c r="E50" s="46">
        <v>5</v>
      </c>
      <c r="F50" s="46">
        <v>23</v>
      </c>
      <c r="G50" s="46">
        <v>2</v>
      </c>
      <c r="H50" s="46">
        <v>3</v>
      </c>
      <c r="I50" s="46">
        <v>253.00000000000003</v>
      </c>
      <c r="J50" s="46" t="s">
        <v>385</v>
      </c>
      <c r="K50" s="46" t="s">
        <v>387</v>
      </c>
      <c r="L50" s="46" t="s">
        <v>312</v>
      </c>
      <c r="M50" s="46" t="s">
        <v>303</v>
      </c>
      <c r="N50" s="46" t="s">
        <v>304</v>
      </c>
      <c r="O50" s="46" t="s">
        <v>375</v>
      </c>
      <c r="P50" s="46" t="s">
        <v>306</v>
      </c>
      <c r="Q50" s="46" t="s">
        <v>379</v>
      </c>
      <c r="R50" s="54" t="s">
        <v>307</v>
      </c>
      <c r="S50" s="46">
        <v>1010</v>
      </c>
      <c r="T50" s="46">
        <v>300</v>
      </c>
      <c r="U50" s="46">
        <v>970</v>
      </c>
      <c r="V50" s="46">
        <v>70</v>
      </c>
      <c r="W50" s="46">
        <v>0</v>
      </c>
      <c r="X50" s="46">
        <v>40100</v>
      </c>
      <c r="Y50" s="46" t="s">
        <v>267</v>
      </c>
      <c r="Z50" s="46" t="s">
        <v>309</v>
      </c>
      <c r="AA50" s="46" t="s">
        <v>309</v>
      </c>
      <c r="AB50" s="46">
        <v>2.5</v>
      </c>
    </row>
    <row r="51" spans="1:28" ht="16.5" customHeight="1">
      <c r="A51" s="46">
        <v>40113</v>
      </c>
      <c r="B51" s="46">
        <v>40100</v>
      </c>
      <c r="C51" s="46" t="s">
        <v>373</v>
      </c>
      <c r="D51" s="46">
        <v>2</v>
      </c>
      <c r="E51" s="46">
        <v>0</v>
      </c>
      <c r="F51" s="46">
        <v>23</v>
      </c>
      <c r="G51" s="46">
        <v>4</v>
      </c>
      <c r="H51" s="46">
        <v>3</v>
      </c>
      <c r="I51" s="46">
        <v>275</v>
      </c>
      <c r="J51" s="46" t="s">
        <v>385</v>
      </c>
      <c r="K51" s="46" t="s">
        <v>388</v>
      </c>
      <c r="L51" s="46" t="s">
        <v>312</v>
      </c>
      <c r="M51" s="46" t="s">
        <v>303</v>
      </c>
      <c r="N51" s="46" t="s">
        <v>304</v>
      </c>
      <c r="O51" s="46" t="s">
        <v>375</v>
      </c>
      <c r="P51" s="46" t="s">
        <v>306</v>
      </c>
      <c r="Q51" s="46" t="s">
        <v>379</v>
      </c>
      <c r="R51" s="54" t="s">
        <v>307</v>
      </c>
      <c r="S51" s="46">
        <v>1070</v>
      </c>
      <c r="T51" s="46">
        <v>350</v>
      </c>
      <c r="U51" s="46">
        <v>1040</v>
      </c>
      <c r="V51" s="46">
        <v>75</v>
      </c>
      <c r="W51" s="46">
        <v>0</v>
      </c>
      <c r="X51" s="46">
        <v>40100</v>
      </c>
      <c r="Y51" s="46" t="s">
        <v>267</v>
      </c>
      <c r="Z51" s="46" t="s">
        <v>309</v>
      </c>
      <c r="AA51" s="46" t="s">
        <v>309</v>
      </c>
      <c r="AB51" s="46">
        <v>2.5</v>
      </c>
    </row>
    <row r="52" spans="1:28" ht="16.5" customHeight="1">
      <c r="A52" s="46">
        <v>40114</v>
      </c>
      <c r="B52" s="46">
        <v>40100</v>
      </c>
      <c r="C52" s="46" t="s">
        <v>373</v>
      </c>
      <c r="D52" s="46">
        <v>2</v>
      </c>
      <c r="E52" s="46">
        <v>1</v>
      </c>
      <c r="F52" s="46">
        <v>23</v>
      </c>
      <c r="G52" s="46">
        <v>4</v>
      </c>
      <c r="H52" s="46">
        <v>3</v>
      </c>
      <c r="I52" s="46">
        <v>297</v>
      </c>
      <c r="J52" s="46" t="s">
        <v>385</v>
      </c>
      <c r="K52" s="46" t="s">
        <v>388</v>
      </c>
      <c r="L52" s="46" t="s">
        <v>312</v>
      </c>
      <c r="M52" s="46" t="s">
        <v>303</v>
      </c>
      <c r="N52" s="46" t="s">
        <v>304</v>
      </c>
      <c r="O52" s="46" t="s">
        <v>375</v>
      </c>
      <c r="P52" s="46" t="s">
        <v>306</v>
      </c>
      <c r="Q52" s="46" t="s">
        <v>379</v>
      </c>
      <c r="R52" s="54" t="s">
        <v>307</v>
      </c>
      <c r="S52" s="46">
        <v>1130</v>
      </c>
      <c r="T52" s="46">
        <v>350</v>
      </c>
      <c r="U52" s="46">
        <v>1040</v>
      </c>
      <c r="V52" s="46">
        <v>75</v>
      </c>
      <c r="W52" s="46">
        <v>0</v>
      </c>
      <c r="X52" s="46">
        <v>40100</v>
      </c>
      <c r="Y52" s="46" t="s">
        <v>267</v>
      </c>
      <c r="Z52" s="46" t="s">
        <v>309</v>
      </c>
      <c r="AA52" s="46" t="s">
        <v>309</v>
      </c>
      <c r="AB52" s="46">
        <v>2.5</v>
      </c>
    </row>
    <row r="53" spans="1:28" ht="16.5" customHeight="1">
      <c r="A53" s="46">
        <v>40115</v>
      </c>
      <c r="B53" s="46">
        <v>40100</v>
      </c>
      <c r="C53" s="46" t="s">
        <v>373</v>
      </c>
      <c r="D53" s="46">
        <v>2</v>
      </c>
      <c r="E53" s="46">
        <v>2</v>
      </c>
      <c r="F53" s="46">
        <v>23</v>
      </c>
      <c r="G53" s="46">
        <v>4</v>
      </c>
      <c r="H53" s="46">
        <v>3</v>
      </c>
      <c r="I53" s="46">
        <v>319</v>
      </c>
      <c r="J53" s="46" t="s">
        <v>385</v>
      </c>
      <c r="K53" s="46" t="s">
        <v>388</v>
      </c>
      <c r="L53" s="46" t="s">
        <v>312</v>
      </c>
      <c r="M53" s="46" t="s">
        <v>303</v>
      </c>
      <c r="N53" s="46" t="s">
        <v>304</v>
      </c>
      <c r="O53" s="46" t="s">
        <v>375</v>
      </c>
      <c r="P53" s="46" t="s">
        <v>306</v>
      </c>
      <c r="Q53" s="46" t="s">
        <v>379</v>
      </c>
      <c r="R53" s="54" t="s">
        <v>307</v>
      </c>
      <c r="S53" s="46">
        <v>1190</v>
      </c>
      <c r="T53" s="46">
        <v>350</v>
      </c>
      <c r="U53" s="46">
        <v>1040</v>
      </c>
      <c r="V53" s="46">
        <v>75</v>
      </c>
      <c r="W53" s="46">
        <v>0</v>
      </c>
      <c r="X53" s="46">
        <v>40100</v>
      </c>
      <c r="Y53" s="46" t="s">
        <v>267</v>
      </c>
      <c r="Z53" s="46" t="s">
        <v>309</v>
      </c>
      <c r="AA53" s="46" t="s">
        <v>309</v>
      </c>
      <c r="AB53" s="46">
        <v>2.5</v>
      </c>
    </row>
    <row r="54" spans="1:28" ht="16.5" customHeight="1">
      <c r="A54" s="46">
        <v>40116</v>
      </c>
      <c r="B54" s="46">
        <v>40100</v>
      </c>
      <c r="C54" s="46" t="s">
        <v>373</v>
      </c>
      <c r="D54" s="46">
        <v>2</v>
      </c>
      <c r="E54" s="46">
        <v>3</v>
      </c>
      <c r="F54" s="46">
        <v>23</v>
      </c>
      <c r="G54" s="46">
        <v>4</v>
      </c>
      <c r="H54" s="46">
        <v>3</v>
      </c>
      <c r="I54" s="46">
        <v>341</v>
      </c>
      <c r="J54" s="46" t="s">
        <v>385</v>
      </c>
      <c r="K54" s="46" t="s">
        <v>388</v>
      </c>
      <c r="L54" s="46" t="s">
        <v>312</v>
      </c>
      <c r="M54" s="46" t="s">
        <v>303</v>
      </c>
      <c r="N54" s="46" t="s">
        <v>304</v>
      </c>
      <c r="O54" s="46" t="s">
        <v>375</v>
      </c>
      <c r="P54" s="46" t="s">
        <v>306</v>
      </c>
      <c r="Q54" s="46" t="s">
        <v>379</v>
      </c>
      <c r="R54" s="54" t="s">
        <v>307</v>
      </c>
      <c r="S54" s="46">
        <v>1250</v>
      </c>
      <c r="T54" s="46">
        <v>350</v>
      </c>
      <c r="U54" s="46">
        <v>1040</v>
      </c>
      <c r="V54" s="46">
        <v>75</v>
      </c>
      <c r="W54" s="46">
        <v>0</v>
      </c>
      <c r="X54" s="46">
        <v>40100</v>
      </c>
      <c r="Y54" s="46" t="s">
        <v>267</v>
      </c>
      <c r="Z54" s="46" t="s">
        <v>309</v>
      </c>
      <c r="AA54" s="46" t="s">
        <v>309</v>
      </c>
      <c r="AB54" s="46">
        <v>2.5</v>
      </c>
    </row>
    <row r="55" spans="1:28" ht="16.5" customHeight="1">
      <c r="A55" s="46">
        <v>40117</v>
      </c>
      <c r="B55" s="46">
        <v>40100</v>
      </c>
      <c r="C55" s="46" t="s">
        <v>373</v>
      </c>
      <c r="D55" s="46">
        <v>2</v>
      </c>
      <c r="E55" s="46">
        <v>4</v>
      </c>
      <c r="F55" s="46">
        <v>23</v>
      </c>
      <c r="G55" s="46">
        <v>4</v>
      </c>
      <c r="H55" s="46">
        <v>3</v>
      </c>
      <c r="I55" s="46">
        <v>363.00000000000006</v>
      </c>
      <c r="J55" s="46" t="s">
        <v>385</v>
      </c>
      <c r="K55" s="46" t="s">
        <v>388</v>
      </c>
      <c r="L55" s="46" t="s">
        <v>312</v>
      </c>
      <c r="M55" s="46" t="s">
        <v>303</v>
      </c>
      <c r="N55" s="46" t="s">
        <v>304</v>
      </c>
      <c r="O55" s="46" t="s">
        <v>375</v>
      </c>
      <c r="P55" s="46" t="s">
        <v>306</v>
      </c>
      <c r="Q55" s="46" t="s">
        <v>379</v>
      </c>
      <c r="R55" s="54" t="s">
        <v>307</v>
      </c>
      <c r="S55" s="46">
        <v>1310</v>
      </c>
      <c r="T55" s="46">
        <v>350</v>
      </c>
      <c r="U55" s="46">
        <v>1040</v>
      </c>
      <c r="V55" s="46">
        <v>75</v>
      </c>
      <c r="W55" s="46">
        <v>0</v>
      </c>
      <c r="X55" s="46">
        <v>40100</v>
      </c>
      <c r="Y55" s="46" t="s">
        <v>267</v>
      </c>
      <c r="Z55" s="46" t="s">
        <v>309</v>
      </c>
      <c r="AA55" s="46" t="s">
        <v>309</v>
      </c>
      <c r="AB55" s="46">
        <v>2.5</v>
      </c>
    </row>
    <row r="56" spans="1:28" ht="16.5" customHeight="1">
      <c r="A56" s="46">
        <v>40118</v>
      </c>
      <c r="B56" s="46">
        <v>40100</v>
      </c>
      <c r="C56" s="46" t="s">
        <v>373</v>
      </c>
      <c r="D56" s="46">
        <v>2</v>
      </c>
      <c r="E56" s="46">
        <v>5</v>
      </c>
      <c r="F56" s="46">
        <v>37</v>
      </c>
      <c r="G56" s="46">
        <v>4</v>
      </c>
      <c r="H56" s="46">
        <v>4</v>
      </c>
      <c r="I56" s="46">
        <v>385.00000000000006</v>
      </c>
      <c r="J56" s="46" t="s">
        <v>385</v>
      </c>
      <c r="K56" s="46" t="s">
        <v>388</v>
      </c>
      <c r="L56" s="46" t="s">
        <v>312</v>
      </c>
      <c r="M56" s="46" t="s">
        <v>303</v>
      </c>
      <c r="N56" s="46" t="s">
        <v>304</v>
      </c>
      <c r="O56" s="46" t="s">
        <v>375</v>
      </c>
      <c r="P56" s="46" t="s">
        <v>306</v>
      </c>
      <c r="Q56" s="46" t="s">
        <v>379</v>
      </c>
      <c r="R56" s="54" t="s">
        <v>307</v>
      </c>
      <c r="S56" s="46">
        <v>1370</v>
      </c>
      <c r="T56" s="46">
        <v>350</v>
      </c>
      <c r="U56" s="46">
        <v>1040</v>
      </c>
      <c r="V56" s="46">
        <v>75</v>
      </c>
      <c r="W56" s="46">
        <v>0</v>
      </c>
      <c r="X56" s="46">
        <v>40100</v>
      </c>
      <c r="Y56" s="46" t="s">
        <v>267</v>
      </c>
      <c r="Z56" s="46" t="s">
        <v>309</v>
      </c>
      <c r="AA56" s="46" t="s">
        <v>309</v>
      </c>
      <c r="AB56" s="46">
        <v>2.5</v>
      </c>
    </row>
    <row r="57" spans="1:28" ht="16.5" customHeight="1">
      <c r="A57" s="46">
        <v>40119</v>
      </c>
      <c r="B57" s="46">
        <v>40100</v>
      </c>
      <c r="C57" s="46" t="s">
        <v>373</v>
      </c>
      <c r="D57" s="46">
        <v>3</v>
      </c>
      <c r="E57" s="46">
        <v>0</v>
      </c>
      <c r="F57" s="46">
        <v>37</v>
      </c>
      <c r="G57" s="46">
        <v>8</v>
      </c>
      <c r="H57" s="46">
        <v>4</v>
      </c>
      <c r="I57" s="46">
        <v>418.00000000000006</v>
      </c>
      <c r="J57" s="46" t="s">
        <v>385</v>
      </c>
      <c r="K57" s="46" t="s">
        <v>389</v>
      </c>
      <c r="L57" s="46" t="s">
        <v>312</v>
      </c>
      <c r="M57" s="46" t="s">
        <v>303</v>
      </c>
      <c r="N57" s="46" t="s">
        <v>304</v>
      </c>
      <c r="O57" s="46" t="s">
        <v>375</v>
      </c>
      <c r="P57" s="46" t="s">
        <v>306</v>
      </c>
      <c r="Q57" s="46" t="s">
        <v>379</v>
      </c>
      <c r="R57" s="54" t="s">
        <v>307</v>
      </c>
      <c r="S57" s="46">
        <v>1430</v>
      </c>
      <c r="T57" s="46">
        <v>400</v>
      </c>
      <c r="U57" s="46">
        <v>1110</v>
      </c>
      <c r="V57" s="46">
        <v>80</v>
      </c>
      <c r="W57" s="46">
        <v>0</v>
      </c>
      <c r="X57" s="46">
        <v>40100</v>
      </c>
      <c r="Y57" s="46" t="s">
        <v>267</v>
      </c>
      <c r="Z57" s="46" t="s">
        <v>309</v>
      </c>
      <c r="AA57" s="46" t="s">
        <v>309</v>
      </c>
      <c r="AB57" s="46">
        <v>2.5</v>
      </c>
    </row>
    <row r="58" spans="1:28" ht="16.5" customHeight="1">
      <c r="A58" s="46">
        <v>40120</v>
      </c>
      <c r="B58" s="46">
        <v>40100</v>
      </c>
      <c r="C58" s="46" t="s">
        <v>373</v>
      </c>
      <c r="D58" s="46">
        <v>3</v>
      </c>
      <c r="E58" s="46">
        <v>1</v>
      </c>
      <c r="F58" s="46">
        <v>37</v>
      </c>
      <c r="G58" s="46">
        <v>8</v>
      </c>
      <c r="H58" s="46">
        <v>4</v>
      </c>
      <c r="I58" s="46">
        <v>451.00000000000006</v>
      </c>
      <c r="J58" s="46" t="s">
        <v>385</v>
      </c>
      <c r="K58" s="46" t="s">
        <v>389</v>
      </c>
      <c r="L58" s="46" t="s">
        <v>312</v>
      </c>
      <c r="M58" s="46" t="s">
        <v>303</v>
      </c>
      <c r="N58" s="46" t="s">
        <v>304</v>
      </c>
      <c r="O58" s="46" t="s">
        <v>375</v>
      </c>
      <c r="P58" s="46" t="s">
        <v>306</v>
      </c>
      <c r="Q58" s="46" t="s">
        <v>379</v>
      </c>
      <c r="R58" s="54" t="s">
        <v>307</v>
      </c>
      <c r="S58" s="46">
        <v>1490</v>
      </c>
      <c r="T58" s="46">
        <v>400</v>
      </c>
      <c r="U58" s="46">
        <v>1110</v>
      </c>
      <c r="V58" s="46">
        <v>80</v>
      </c>
      <c r="W58" s="46">
        <v>0</v>
      </c>
      <c r="X58" s="46">
        <v>40100</v>
      </c>
      <c r="Y58" s="46" t="s">
        <v>267</v>
      </c>
      <c r="Z58" s="46" t="s">
        <v>309</v>
      </c>
      <c r="AA58" s="46" t="s">
        <v>309</v>
      </c>
      <c r="AB58" s="46">
        <v>2.5</v>
      </c>
    </row>
    <row r="59" spans="1:28" ht="16.5" customHeight="1">
      <c r="A59" s="46">
        <v>40121</v>
      </c>
      <c r="B59" s="46">
        <v>40100</v>
      </c>
      <c r="C59" s="46" t="s">
        <v>373</v>
      </c>
      <c r="D59" s="46">
        <v>3</v>
      </c>
      <c r="E59" s="46">
        <v>2</v>
      </c>
      <c r="F59" s="46">
        <v>37</v>
      </c>
      <c r="G59" s="46">
        <v>8</v>
      </c>
      <c r="H59" s="46">
        <v>4</v>
      </c>
      <c r="I59" s="46">
        <v>484.00000000000006</v>
      </c>
      <c r="J59" s="46" t="s">
        <v>385</v>
      </c>
      <c r="K59" s="46" t="s">
        <v>389</v>
      </c>
      <c r="L59" s="46" t="s">
        <v>312</v>
      </c>
      <c r="M59" s="46" t="s">
        <v>303</v>
      </c>
      <c r="N59" s="46" t="s">
        <v>304</v>
      </c>
      <c r="O59" s="46" t="s">
        <v>375</v>
      </c>
      <c r="P59" s="46" t="s">
        <v>306</v>
      </c>
      <c r="Q59" s="46" t="s">
        <v>379</v>
      </c>
      <c r="R59" s="54" t="s">
        <v>307</v>
      </c>
      <c r="S59" s="46">
        <v>1550</v>
      </c>
      <c r="T59" s="46">
        <v>400</v>
      </c>
      <c r="U59" s="46">
        <v>1110</v>
      </c>
      <c r="V59" s="46">
        <v>80</v>
      </c>
      <c r="W59" s="46">
        <v>0</v>
      </c>
      <c r="X59" s="46">
        <v>40100</v>
      </c>
      <c r="Y59" s="46" t="s">
        <v>267</v>
      </c>
      <c r="Z59" s="46" t="s">
        <v>309</v>
      </c>
      <c r="AA59" s="46" t="s">
        <v>309</v>
      </c>
      <c r="AB59" s="46">
        <v>2.5</v>
      </c>
    </row>
    <row r="60" spans="1:28" ht="16.5" customHeight="1">
      <c r="A60" s="46">
        <v>40122</v>
      </c>
      <c r="B60" s="46">
        <v>40100</v>
      </c>
      <c r="C60" s="46" t="s">
        <v>373</v>
      </c>
      <c r="D60" s="46">
        <v>3</v>
      </c>
      <c r="E60" s="46">
        <v>3</v>
      </c>
      <c r="F60" s="46">
        <v>37</v>
      </c>
      <c r="G60" s="46">
        <v>8</v>
      </c>
      <c r="H60" s="46">
        <v>4</v>
      </c>
      <c r="I60" s="46">
        <v>517</v>
      </c>
      <c r="J60" s="46" t="s">
        <v>385</v>
      </c>
      <c r="K60" s="46" t="s">
        <v>389</v>
      </c>
      <c r="L60" s="46" t="s">
        <v>312</v>
      </c>
      <c r="M60" s="46" t="s">
        <v>303</v>
      </c>
      <c r="N60" s="46" t="s">
        <v>304</v>
      </c>
      <c r="O60" s="46" t="s">
        <v>375</v>
      </c>
      <c r="P60" s="46" t="s">
        <v>306</v>
      </c>
      <c r="Q60" s="46" t="s">
        <v>379</v>
      </c>
      <c r="R60" s="54" t="s">
        <v>307</v>
      </c>
      <c r="S60" s="46">
        <v>1610</v>
      </c>
      <c r="T60" s="46">
        <v>400</v>
      </c>
      <c r="U60" s="46">
        <v>1110</v>
      </c>
      <c r="V60" s="46">
        <v>80</v>
      </c>
      <c r="W60" s="46">
        <v>0</v>
      </c>
      <c r="X60" s="46">
        <v>40100</v>
      </c>
      <c r="Y60" s="46" t="s">
        <v>267</v>
      </c>
      <c r="Z60" s="46" t="s">
        <v>309</v>
      </c>
      <c r="AA60" s="46" t="s">
        <v>309</v>
      </c>
      <c r="AB60" s="46">
        <v>2.5</v>
      </c>
    </row>
    <row r="61" spans="1:28" ht="16.5" customHeight="1">
      <c r="A61" s="46">
        <v>40123</v>
      </c>
      <c r="B61" s="46">
        <v>40100</v>
      </c>
      <c r="C61" s="46" t="s">
        <v>373</v>
      </c>
      <c r="D61" s="46">
        <v>3</v>
      </c>
      <c r="E61" s="46">
        <v>4</v>
      </c>
      <c r="F61" s="46">
        <v>37</v>
      </c>
      <c r="G61" s="46">
        <v>8</v>
      </c>
      <c r="H61" s="46">
        <v>4</v>
      </c>
      <c r="I61" s="46">
        <v>550</v>
      </c>
      <c r="J61" s="46" t="s">
        <v>385</v>
      </c>
      <c r="K61" s="46" t="s">
        <v>389</v>
      </c>
      <c r="L61" s="46" t="s">
        <v>312</v>
      </c>
      <c r="M61" s="46" t="s">
        <v>303</v>
      </c>
      <c r="N61" s="46" t="s">
        <v>304</v>
      </c>
      <c r="O61" s="46" t="s">
        <v>375</v>
      </c>
      <c r="P61" s="46" t="s">
        <v>306</v>
      </c>
      <c r="Q61" s="46" t="s">
        <v>379</v>
      </c>
      <c r="R61" s="54" t="s">
        <v>307</v>
      </c>
      <c r="S61" s="46">
        <v>1670</v>
      </c>
      <c r="T61" s="46">
        <v>400</v>
      </c>
      <c r="U61" s="46">
        <v>1110</v>
      </c>
      <c r="V61" s="46">
        <v>80</v>
      </c>
      <c r="W61" s="46">
        <v>0</v>
      </c>
      <c r="X61" s="46">
        <v>40100</v>
      </c>
      <c r="Y61" s="46" t="s">
        <v>267</v>
      </c>
      <c r="Z61" s="46" t="s">
        <v>309</v>
      </c>
      <c r="AA61" s="46" t="s">
        <v>309</v>
      </c>
      <c r="AB61" s="46">
        <v>2.5</v>
      </c>
    </row>
    <row r="62" spans="1:28" ht="16.5" customHeight="1">
      <c r="A62" s="46">
        <v>40124</v>
      </c>
      <c r="B62" s="46">
        <v>40100</v>
      </c>
      <c r="C62" s="46" t="s">
        <v>373</v>
      </c>
      <c r="D62" s="46">
        <v>3</v>
      </c>
      <c r="E62" s="46">
        <v>5</v>
      </c>
      <c r="F62" s="46">
        <v>80</v>
      </c>
      <c r="G62" s="46">
        <v>8</v>
      </c>
      <c r="H62" s="46">
        <v>5</v>
      </c>
      <c r="I62" s="46">
        <v>583</v>
      </c>
      <c r="J62" s="46" t="s">
        <v>385</v>
      </c>
      <c r="K62" s="46" t="s">
        <v>389</v>
      </c>
      <c r="L62" s="46" t="s">
        <v>312</v>
      </c>
      <c r="M62" s="46" t="s">
        <v>303</v>
      </c>
      <c r="N62" s="46" t="s">
        <v>304</v>
      </c>
      <c r="O62" s="46" t="s">
        <v>375</v>
      </c>
      <c r="P62" s="46" t="s">
        <v>306</v>
      </c>
      <c r="Q62" s="46" t="s">
        <v>379</v>
      </c>
      <c r="R62" s="54" t="s">
        <v>307</v>
      </c>
      <c r="S62" s="46">
        <v>1730</v>
      </c>
      <c r="T62" s="46">
        <v>400</v>
      </c>
      <c r="U62" s="46">
        <v>1110</v>
      </c>
      <c r="V62" s="46">
        <v>80</v>
      </c>
      <c r="W62" s="46">
        <v>0</v>
      </c>
      <c r="X62" s="46">
        <v>40100</v>
      </c>
      <c r="Y62" s="46" t="s">
        <v>267</v>
      </c>
      <c r="Z62" s="46" t="s">
        <v>309</v>
      </c>
      <c r="AA62" s="46" t="s">
        <v>309</v>
      </c>
      <c r="AB62" s="46">
        <v>2.5</v>
      </c>
    </row>
    <row r="63" spans="1:28" ht="16.5" customHeight="1">
      <c r="A63" s="46">
        <v>40125</v>
      </c>
      <c r="B63" s="46">
        <v>40100</v>
      </c>
      <c r="C63" s="46" t="s">
        <v>373</v>
      </c>
      <c r="D63" s="46">
        <v>4</v>
      </c>
      <c r="E63" s="46">
        <v>0</v>
      </c>
      <c r="F63" s="46">
        <v>120</v>
      </c>
      <c r="G63" s="46">
        <v>24</v>
      </c>
      <c r="H63" s="46">
        <v>5</v>
      </c>
      <c r="I63" s="46">
        <v>627</v>
      </c>
      <c r="J63" s="46" t="s">
        <v>385</v>
      </c>
      <c r="K63" s="46" t="s">
        <v>390</v>
      </c>
      <c r="L63" s="46" t="s">
        <v>312</v>
      </c>
      <c r="M63" s="46" t="s">
        <v>303</v>
      </c>
      <c r="N63" s="46" t="s">
        <v>304</v>
      </c>
      <c r="O63" s="46" t="s">
        <v>375</v>
      </c>
      <c r="P63" s="46" t="s">
        <v>306</v>
      </c>
      <c r="Q63" s="46" t="s">
        <v>379</v>
      </c>
      <c r="R63" s="54" t="s">
        <v>307</v>
      </c>
      <c r="S63" s="46">
        <v>1820</v>
      </c>
      <c r="T63" s="46">
        <v>450</v>
      </c>
      <c r="U63" s="46">
        <v>1110</v>
      </c>
      <c r="V63" s="46">
        <v>85</v>
      </c>
      <c r="W63" s="46">
        <v>0</v>
      </c>
      <c r="X63" s="46">
        <v>40100</v>
      </c>
      <c r="Y63" s="46" t="s">
        <v>267</v>
      </c>
      <c r="Z63" s="46" t="s">
        <v>309</v>
      </c>
      <c r="AA63" s="46" t="s">
        <v>309</v>
      </c>
      <c r="AB63" s="46">
        <v>2.5</v>
      </c>
    </row>
    <row r="64" spans="1:28" ht="16.5" customHeight="1">
      <c r="A64" s="46">
        <v>40126</v>
      </c>
      <c r="B64" s="46">
        <v>40100</v>
      </c>
      <c r="C64" s="46" t="s">
        <v>373</v>
      </c>
      <c r="D64" s="46">
        <v>4</v>
      </c>
      <c r="E64" s="46">
        <v>1</v>
      </c>
      <c r="F64" s="46">
        <v>160</v>
      </c>
      <c r="G64" s="46">
        <v>24</v>
      </c>
      <c r="H64" s="46">
        <v>5</v>
      </c>
      <c r="I64" s="46">
        <v>671</v>
      </c>
      <c r="J64" s="46" t="s">
        <v>385</v>
      </c>
      <c r="K64" s="46" t="s">
        <v>390</v>
      </c>
      <c r="L64" s="46" t="s">
        <v>312</v>
      </c>
      <c r="M64" s="46" t="s">
        <v>303</v>
      </c>
      <c r="N64" s="46" t="s">
        <v>304</v>
      </c>
      <c r="O64" s="46" t="s">
        <v>375</v>
      </c>
      <c r="P64" s="46" t="s">
        <v>306</v>
      </c>
      <c r="Q64" s="46" t="s">
        <v>379</v>
      </c>
      <c r="R64" s="54" t="s">
        <v>307</v>
      </c>
      <c r="S64" s="46">
        <v>1910</v>
      </c>
      <c r="T64" s="46">
        <v>450</v>
      </c>
      <c r="U64" s="46">
        <v>1110</v>
      </c>
      <c r="V64" s="46">
        <v>85</v>
      </c>
      <c r="W64" s="46">
        <v>0</v>
      </c>
      <c r="X64" s="46">
        <v>40100</v>
      </c>
      <c r="Y64" s="46" t="s">
        <v>267</v>
      </c>
      <c r="Z64" s="46" t="s">
        <v>309</v>
      </c>
      <c r="AA64" s="46" t="s">
        <v>309</v>
      </c>
      <c r="AB64" s="46">
        <v>2.5</v>
      </c>
    </row>
    <row r="65" spans="1:28" ht="16.5" customHeight="1">
      <c r="A65" s="46">
        <v>40127</v>
      </c>
      <c r="B65" s="46">
        <v>40100</v>
      </c>
      <c r="C65" s="46" t="s">
        <v>373</v>
      </c>
      <c r="D65" s="46">
        <v>4</v>
      </c>
      <c r="E65" s="46">
        <v>2</v>
      </c>
      <c r="F65" s="46">
        <v>200</v>
      </c>
      <c r="G65" s="46">
        <v>24</v>
      </c>
      <c r="H65" s="46">
        <v>5</v>
      </c>
      <c r="I65" s="46">
        <v>715.00000000000011</v>
      </c>
      <c r="J65" s="46" t="s">
        <v>385</v>
      </c>
      <c r="K65" s="46" t="s">
        <v>390</v>
      </c>
      <c r="L65" s="46" t="s">
        <v>312</v>
      </c>
      <c r="M65" s="46" t="s">
        <v>303</v>
      </c>
      <c r="N65" s="46" t="s">
        <v>304</v>
      </c>
      <c r="O65" s="46" t="s">
        <v>375</v>
      </c>
      <c r="P65" s="46" t="s">
        <v>306</v>
      </c>
      <c r="Q65" s="46" t="s">
        <v>379</v>
      </c>
      <c r="R65" s="54" t="s">
        <v>307</v>
      </c>
      <c r="S65" s="46">
        <v>2000</v>
      </c>
      <c r="T65" s="46">
        <v>450</v>
      </c>
      <c r="U65" s="46">
        <v>1110</v>
      </c>
      <c r="V65" s="46">
        <v>85</v>
      </c>
      <c r="W65" s="46">
        <v>0</v>
      </c>
      <c r="X65" s="46">
        <v>40100</v>
      </c>
      <c r="Y65" s="46" t="s">
        <v>267</v>
      </c>
      <c r="Z65" s="46" t="s">
        <v>309</v>
      </c>
      <c r="AA65" s="46" t="s">
        <v>309</v>
      </c>
      <c r="AB65" s="46">
        <v>2.5</v>
      </c>
    </row>
    <row r="66" spans="1:28" ht="16.5" customHeight="1">
      <c r="A66" s="46">
        <v>40128</v>
      </c>
      <c r="B66" s="46">
        <v>40100</v>
      </c>
      <c r="C66" s="46" t="s">
        <v>373</v>
      </c>
      <c r="D66" s="46">
        <v>4</v>
      </c>
      <c r="E66" s="46">
        <v>3</v>
      </c>
      <c r="F66" s="46">
        <v>250</v>
      </c>
      <c r="G66" s="46">
        <v>24</v>
      </c>
      <c r="H66" s="46">
        <v>5</v>
      </c>
      <c r="I66" s="46">
        <v>759.00000000000011</v>
      </c>
      <c r="J66" s="46" t="s">
        <v>385</v>
      </c>
      <c r="K66" s="46" t="s">
        <v>390</v>
      </c>
      <c r="L66" s="46" t="s">
        <v>312</v>
      </c>
      <c r="M66" s="46" t="s">
        <v>303</v>
      </c>
      <c r="N66" s="46" t="s">
        <v>304</v>
      </c>
      <c r="O66" s="46" t="s">
        <v>375</v>
      </c>
      <c r="P66" s="46" t="s">
        <v>306</v>
      </c>
      <c r="Q66" s="46" t="s">
        <v>379</v>
      </c>
      <c r="R66" s="54" t="s">
        <v>307</v>
      </c>
      <c r="S66" s="46">
        <v>2090</v>
      </c>
      <c r="T66" s="46">
        <v>450</v>
      </c>
      <c r="U66" s="46">
        <v>1110</v>
      </c>
      <c r="V66" s="46">
        <v>85</v>
      </c>
      <c r="W66" s="46">
        <v>0</v>
      </c>
      <c r="X66" s="46">
        <v>40100</v>
      </c>
      <c r="Y66" s="46" t="s">
        <v>267</v>
      </c>
      <c r="Z66" s="46" t="s">
        <v>309</v>
      </c>
      <c r="AA66" s="46" t="s">
        <v>309</v>
      </c>
      <c r="AB66" s="46">
        <v>2.5</v>
      </c>
    </row>
    <row r="67" spans="1:28" ht="16.5" customHeight="1">
      <c r="A67" s="46">
        <v>40129</v>
      </c>
      <c r="B67" s="46">
        <v>40100</v>
      </c>
      <c r="C67" s="46" t="s">
        <v>373</v>
      </c>
      <c r="D67" s="46">
        <v>4</v>
      </c>
      <c r="E67" s="46">
        <v>4</v>
      </c>
      <c r="F67" s="46">
        <v>400</v>
      </c>
      <c r="G67" s="46">
        <v>24</v>
      </c>
      <c r="H67" s="46">
        <v>5</v>
      </c>
      <c r="I67" s="46">
        <v>803.00000000000011</v>
      </c>
      <c r="J67" s="46" t="s">
        <v>385</v>
      </c>
      <c r="K67" s="46" t="s">
        <v>390</v>
      </c>
      <c r="L67" s="46" t="s">
        <v>312</v>
      </c>
      <c r="M67" s="46" t="s">
        <v>303</v>
      </c>
      <c r="N67" s="46" t="s">
        <v>304</v>
      </c>
      <c r="O67" s="46" t="s">
        <v>375</v>
      </c>
      <c r="P67" s="46" t="s">
        <v>306</v>
      </c>
      <c r="Q67" s="46" t="s">
        <v>379</v>
      </c>
      <c r="R67" s="54" t="s">
        <v>307</v>
      </c>
      <c r="S67" s="46">
        <v>2180</v>
      </c>
      <c r="T67" s="46">
        <v>450</v>
      </c>
      <c r="U67" s="46">
        <v>1110</v>
      </c>
      <c r="V67" s="46">
        <v>85</v>
      </c>
      <c r="W67" s="46">
        <v>0</v>
      </c>
      <c r="X67" s="46">
        <v>40100</v>
      </c>
      <c r="Y67" s="46" t="s">
        <v>267</v>
      </c>
      <c r="Z67" s="46" t="s">
        <v>309</v>
      </c>
      <c r="AA67" s="46" t="s">
        <v>309</v>
      </c>
      <c r="AB67" s="46">
        <v>2.5</v>
      </c>
    </row>
    <row r="68" spans="1:28" ht="16.5" customHeight="1">
      <c r="A68" s="46">
        <v>40130</v>
      </c>
      <c r="B68" s="46">
        <v>40100</v>
      </c>
      <c r="C68" s="46" t="s">
        <v>373</v>
      </c>
      <c r="D68" s="46">
        <v>4</v>
      </c>
      <c r="E68" s="46">
        <v>5</v>
      </c>
      <c r="F68" s="46">
        <v>550</v>
      </c>
      <c r="G68" s="46">
        <v>48</v>
      </c>
      <c r="H68" s="46">
        <v>6</v>
      </c>
      <c r="I68" s="46">
        <v>847.00000000000011</v>
      </c>
      <c r="J68" s="46" t="s">
        <v>385</v>
      </c>
      <c r="K68" s="46" t="s">
        <v>390</v>
      </c>
      <c r="L68" s="46" t="s">
        <v>312</v>
      </c>
      <c r="M68" s="46" t="s">
        <v>303</v>
      </c>
      <c r="N68" s="46" t="s">
        <v>304</v>
      </c>
      <c r="O68" s="46" t="s">
        <v>375</v>
      </c>
      <c r="P68" s="46" t="s">
        <v>306</v>
      </c>
      <c r="Q68" s="46" t="s">
        <v>379</v>
      </c>
      <c r="R68" s="54" t="s">
        <v>307</v>
      </c>
      <c r="S68" s="46">
        <v>2270</v>
      </c>
      <c r="T68" s="46">
        <v>450</v>
      </c>
      <c r="U68" s="46">
        <v>1110</v>
      </c>
      <c r="V68" s="46">
        <v>85</v>
      </c>
      <c r="W68" s="46">
        <v>0</v>
      </c>
      <c r="X68" s="46">
        <v>40100</v>
      </c>
      <c r="Y68" s="46" t="s">
        <v>267</v>
      </c>
      <c r="Z68" s="46" t="s">
        <v>309</v>
      </c>
      <c r="AA68" s="46" t="s">
        <v>309</v>
      </c>
      <c r="AB68" s="46">
        <v>2.5</v>
      </c>
    </row>
    <row r="69" spans="1:28" ht="16.5" customHeight="1">
      <c r="A69" s="46">
        <v>40131</v>
      </c>
      <c r="B69" s="46">
        <v>40100</v>
      </c>
      <c r="C69" s="46" t="s">
        <v>373</v>
      </c>
      <c r="D69" s="46">
        <v>5</v>
      </c>
      <c r="E69" s="46">
        <v>0</v>
      </c>
      <c r="F69" s="46">
        <v>700</v>
      </c>
      <c r="G69" s="46">
        <v>48</v>
      </c>
      <c r="H69" s="46">
        <v>6</v>
      </c>
      <c r="I69" s="46">
        <v>913.00000000000011</v>
      </c>
      <c r="J69" s="46" t="s">
        <v>385</v>
      </c>
      <c r="K69" s="46" t="s">
        <v>391</v>
      </c>
      <c r="L69" s="46" t="s">
        <v>312</v>
      </c>
      <c r="M69" s="46" t="s">
        <v>303</v>
      </c>
      <c r="N69" s="46" t="s">
        <v>304</v>
      </c>
      <c r="O69" s="46" t="s">
        <v>375</v>
      </c>
      <c r="P69" s="46" t="s">
        <v>306</v>
      </c>
      <c r="Q69" s="46" t="s">
        <v>379</v>
      </c>
      <c r="R69" s="54" t="s">
        <v>307</v>
      </c>
      <c r="S69" s="46">
        <v>2360</v>
      </c>
      <c r="T69" s="46">
        <v>500</v>
      </c>
      <c r="U69" s="46">
        <v>1200</v>
      </c>
      <c r="V69" s="46">
        <v>90</v>
      </c>
      <c r="W69" s="46">
        <v>0</v>
      </c>
      <c r="X69" s="46">
        <v>40100</v>
      </c>
      <c r="Y69" s="46" t="s">
        <v>267</v>
      </c>
      <c r="Z69" s="46" t="s">
        <v>309</v>
      </c>
      <c r="AA69" s="46" t="s">
        <v>309</v>
      </c>
      <c r="AB69" s="46">
        <v>2.5</v>
      </c>
    </row>
    <row r="70" spans="1:28" ht="16.5" customHeight="1">
      <c r="A70" s="46">
        <v>40132</v>
      </c>
      <c r="B70" s="46">
        <v>40100</v>
      </c>
      <c r="C70" s="46" t="s">
        <v>373</v>
      </c>
      <c r="D70" s="46">
        <v>5</v>
      </c>
      <c r="E70" s="46">
        <v>1</v>
      </c>
      <c r="F70" s="46">
        <v>900</v>
      </c>
      <c r="G70" s="46">
        <v>48</v>
      </c>
      <c r="H70" s="46">
        <v>6</v>
      </c>
      <c r="I70" s="46">
        <v>979.00000000000011</v>
      </c>
      <c r="J70" s="46" t="s">
        <v>385</v>
      </c>
      <c r="K70" s="46" t="s">
        <v>391</v>
      </c>
      <c r="L70" s="46" t="s">
        <v>312</v>
      </c>
      <c r="M70" s="46" t="s">
        <v>303</v>
      </c>
      <c r="N70" s="46" t="s">
        <v>304</v>
      </c>
      <c r="O70" s="46" t="s">
        <v>375</v>
      </c>
      <c r="P70" s="46" t="s">
        <v>306</v>
      </c>
      <c r="Q70" s="46" t="s">
        <v>379</v>
      </c>
      <c r="R70" s="54" t="s">
        <v>307</v>
      </c>
      <c r="S70" s="46">
        <v>2450</v>
      </c>
      <c r="T70" s="46">
        <v>500</v>
      </c>
      <c r="U70" s="46">
        <v>1200</v>
      </c>
      <c r="V70" s="46">
        <v>90</v>
      </c>
      <c r="W70" s="46">
        <v>0</v>
      </c>
      <c r="X70" s="46">
        <v>40100</v>
      </c>
      <c r="Y70" s="46" t="s">
        <v>267</v>
      </c>
      <c r="Z70" s="46" t="s">
        <v>309</v>
      </c>
      <c r="AA70" s="46" t="s">
        <v>309</v>
      </c>
      <c r="AB70" s="46">
        <v>2.5</v>
      </c>
    </row>
    <row r="71" spans="1:28" ht="16.5" customHeight="1">
      <c r="A71" s="46">
        <v>40133</v>
      </c>
      <c r="B71" s="46">
        <v>40100</v>
      </c>
      <c r="C71" s="46" t="s">
        <v>373</v>
      </c>
      <c r="D71" s="46">
        <v>5</v>
      </c>
      <c r="E71" s="46">
        <v>2</v>
      </c>
      <c r="F71" s="46">
        <v>1200</v>
      </c>
      <c r="G71" s="46">
        <v>48</v>
      </c>
      <c r="H71" s="46">
        <v>6</v>
      </c>
      <c r="I71" s="46">
        <v>1045</v>
      </c>
      <c r="J71" s="46" t="s">
        <v>385</v>
      </c>
      <c r="K71" s="46" t="s">
        <v>391</v>
      </c>
      <c r="L71" s="46" t="s">
        <v>312</v>
      </c>
      <c r="M71" s="46" t="s">
        <v>303</v>
      </c>
      <c r="N71" s="46" t="s">
        <v>304</v>
      </c>
      <c r="O71" s="46" t="s">
        <v>375</v>
      </c>
      <c r="P71" s="46" t="s">
        <v>306</v>
      </c>
      <c r="Q71" s="46" t="s">
        <v>379</v>
      </c>
      <c r="R71" s="54" t="s">
        <v>307</v>
      </c>
      <c r="S71" s="46">
        <v>2540</v>
      </c>
      <c r="T71" s="46">
        <v>500</v>
      </c>
      <c r="U71" s="46">
        <v>1200</v>
      </c>
      <c r="V71" s="46">
        <v>90</v>
      </c>
      <c r="W71" s="46">
        <v>0</v>
      </c>
      <c r="X71" s="46">
        <v>40100</v>
      </c>
      <c r="Y71" s="46" t="s">
        <v>267</v>
      </c>
      <c r="Z71" s="46" t="s">
        <v>309</v>
      </c>
      <c r="AA71" s="46" t="s">
        <v>309</v>
      </c>
      <c r="AB71" s="46">
        <v>2.5</v>
      </c>
    </row>
    <row r="72" spans="1:28" ht="16.5" customHeight="1">
      <c r="A72" s="46">
        <v>40134</v>
      </c>
      <c r="B72" s="46">
        <v>40100</v>
      </c>
      <c r="C72" s="46" t="s">
        <v>373</v>
      </c>
      <c r="D72" s="46">
        <v>5</v>
      </c>
      <c r="E72" s="46">
        <v>3</v>
      </c>
      <c r="F72" s="46">
        <v>1800</v>
      </c>
      <c r="G72" s="46">
        <v>48</v>
      </c>
      <c r="H72" s="46">
        <v>6</v>
      </c>
      <c r="I72" s="46">
        <v>1111</v>
      </c>
      <c r="J72" s="46" t="s">
        <v>385</v>
      </c>
      <c r="K72" s="46" t="s">
        <v>391</v>
      </c>
      <c r="L72" s="46" t="s">
        <v>312</v>
      </c>
      <c r="M72" s="46" t="s">
        <v>303</v>
      </c>
      <c r="N72" s="46" t="s">
        <v>304</v>
      </c>
      <c r="O72" s="46" t="s">
        <v>375</v>
      </c>
      <c r="P72" s="46" t="s">
        <v>306</v>
      </c>
      <c r="Q72" s="46" t="s">
        <v>379</v>
      </c>
      <c r="R72" s="54" t="s">
        <v>307</v>
      </c>
      <c r="S72" s="46">
        <v>2630</v>
      </c>
      <c r="T72" s="46">
        <v>500</v>
      </c>
      <c r="U72" s="46">
        <v>1200</v>
      </c>
      <c r="V72" s="46">
        <v>90</v>
      </c>
      <c r="W72" s="46">
        <v>0</v>
      </c>
      <c r="X72" s="46">
        <v>40100</v>
      </c>
      <c r="Y72" s="46" t="s">
        <v>267</v>
      </c>
      <c r="Z72" s="46" t="s">
        <v>309</v>
      </c>
      <c r="AA72" s="46" t="s">
        <v>309</v>
      </c>
      <c r="AB72" s="46">
        <v>2.5</v>
      </c>
    </row>
    <row r="73" spans="1:28" ht="16.5" customHeight="1">
      <c r="A73" s="46">
        <v>40135</v>
      </c>
      <c r="B73" s="46">
        <v>40100</v>
      </c>
      <c r="C73" s="46" t="s">
        <v>373</v>
      </c>
      <c r="D73" s="46">
        <v>5</v>
      </c>
      <c r="E73" s="46">
        <v>4</v>
      </c>
      <c r="F73" s="46">
        <v>2500</v>
      </c>
      <c r="G73" s="46">
        <v>48</v>
      </c>
      <c r="H73" s="46">
        <v>6</v>
      </c>
      <c r="I73" s="46">
        <v>1177</v>
      </c>
      <c r="J73" s="46" t="s">
        <v>385</v>
      </c>
      <c r="K73" s="46" t="s">
        <v>391</v>
      </c>
      <c r="L73" s="46" t="s">
        <v>312</v>
      </c>
      <c r="M73" s="46" t="s">
        <v>303</v>
      </c>
      <c r="N73" s="46" t="s">
        <v>304</v>
      </c>
      <c r="O73" s="46" t="s">
        <v>375</v>
      </c>
      <c r="P73" s="46" t="s">
        <v>306</v>
      </c>
      <c r="Q73" s="46" t="s">
        <v>379</v>
      </c>
      <c r="R73" s="54" t="s">
        <v>307</v>
      </c>
      <c r="S73" s="46">
        <v>2720</v>
      </c>
      <c r="T73" s="46">
        <v>500</v>
      </c>
      <c r="U73" s="46">
        <v>1200</v>
      </c>
      <c r="V73" s="46">
        <v>90</v>
      </c>
      <c r="W73" s="46">
        <v>0</v>
      </c>
      <c r="X73" s="46">
        <v>40100</v>
      </c>
      <c r="Y73" s="46" t="s">
        <v>267</v>
      </c>
      <c r="Z73" s="46" t="s">
        <v>309</v>
      </c>
      <c r="AA73" s="46" t="s">
        <v>309</v>
      </c>
      <c r="AB73" s="46">
        <v>2.5</v>
      </c>
    </row>
    <row r="74" spans="1:28" ht="16.5" customHeight="1">
      <c r="A74" s="46">
        <v>40136</v>
      </c>
      <c r="B74" s="46">
        <v>40100</v>
      </c>
      <c r="C74" s="46" t="s">
        <v>373</v>
      </c>
      <c r="D74" s="46">
        <v>5</v>
      </c>
      <c r="E74" s="46">
        <v>5</v>
      </c>
      <c r="F74" s="55">
        <v>0</v>
      </c>
      <c r="G74" s="46">
        <v>0</v>
      </c>
      <c r="H74" s="46">
        <v>6</v>
      </c>
      <c r="I74" s="46">
        <v>1243</v>
      </c>
      <c r="J74" s="46" t="s">
        <v>385</v>
      </c>
      <c r="K74" s="46" t="s">
        <v>391</v>
      </c>
      <c r="L74" s="46" t="s">
        <v>312</v>
      </c>
      <c r="M74" s="46" t="s">
        <v>303</v>
      </c>
      <c r="N74" s="46" t="s">
        <v>304</v>
      </c>
      <c r="O74" s="46" t="s">
        <v>375</v>
      </c>
      <c r="P74" s="46" t="s">
        <v>306</v>
      </c>
      <c r="Q74" s="46" t="s">
        <v>379</v>
      </c>
      <c r="R74" s="54" t="s">
        <v>307</v>
      </c>
      <c r="S74" s="46">
        <v>2810</v>
      </c>
      <c r="T74" s="46">
        <v>500</v>
      </c>
      <c r="U74" s="46">
        <v>1200</v>
      </c>
      <c r="V74" s="46">
        <v>90</v>
      </c>
      <c r="W74" s="46">
        <v>0</v>
      </c>
      <c r="X74" s="46">
        <v>40100</v>
      </c>
      <c r="Y74" s="46" t="s">
        <v>267</v>
      </c>
      <c r="Z74" s="46" t="s">
        <v>309</v>
      </c>
      <c r="AA74" s="46" t="s">
        <v>309</v>
      </c>
      <c r="AB74" s="46">
        <v>2.5</v>
      </c>
    </row>
    <row r="75" spans="1:28" ht="16.5" customHeight="1">
      <c r="A75" s="46">
        <v>40201</v>
      </c>
      <c r="B75" s="46">
        <v>40200</v>
      </c>
      <c r="C75" s="46" t="s">
        <v>373</v>
      </c>
      <c r="D75" s="46">
        <v>0</v>
      </c>
      <c r="E75" s="46">
        <v>0</v>
      </c>
      <c r="F75" s="46">
        <v>15</v>
      </c>
      <c r="G75" s="46">
        <v>1</v>
      </c>
      <c r="H75" s="46">
        <v>3</v>
      </c>
      <c r="I75" s="46">
        <v>63</v>
      </c>
      <c r="J75" s="46" t="s">
        <v>392</v>
      </c>
      <c r="K75" s="46" t="s">
        <v>393</v>
      </c>
      <c r="L75" s="46" t="s">
        <v>328</v>
      </c>
      <c r="M75" s="46" t="s">
        <v>303</v>
      </c>
      <c r="N75" s="46" t="s">
        <v>304</v>
      </c>
      <c r="O75" s="46" t="s">
        <v>375</v>
      </c>
      <c r="P75" s="46" t="s">
        <v>306</v>
      </c>
      <c r="Q75" s="46" t="s">
        <v>379</v>
      </c>
      <c r="R75" s="54" t="s">
        <v>307</v>
      </c>
      <c r="S75" s="46">
        <v>600</v>
      </c>
      <c r="T75" s="46">
        <v>250</v>
      </c>
      <c r="U75" s="46">
        <v>680</v>
      </c>
      <c r="V75" s="46">
        <v>45</v>
      </c>
      <c r="W75" s="46">
        <v>0</v>
      </c>
      <c r="X75" s="46">
        <v>40200</v>
      </c>
      <c r="Y75" s="46" t="s">
        <v>267</v>
      </c>
      <c r="Z75" s="46" t="s">
        <v>309</v>
      </c>
      <c r="AA75" s="46" t="s">
        <v>309</v>
      </c>
      <c r="AB75" s="46">
        <v>2.5</v>
      </c>
    </row>
    <row r="76" spans="1:28" ht="16.5" customHeight="1">
      <c r="A76" s="46">
        <v>40202</v>
      </c>
      <c r="B76" s="46">
        <v>40200</v>
      </c>
      <c r="C76" s="46" t="s">
        <v>373</v>
      </c>
      <c r="D76" s="46">
        <v>0</v>
      </c>
      <c r="E76" s="46">
        <v>1</v>
      </c>
      <c r="F76" s="46">
        <v>15</v>
      </c>
      <c r="G76" s="46">
        <v>1</v>
      </c>
      <c r="H76" s="46">
        <v>3</v>
      </c>
      <c r="I76" s="46">
        <v>68</v>
      </c>
      <c r="J76" s="46" t="s">
        <v>392</v>
      </c>
      <c r="K76" s="46" t="s">
        <v>393</v>
      </c>
      <c r="L76" s="46" t="s">
        <v>328</v>
      </c>
      <c r="M76" s="46" t="s">
        <v>303</v>
      </c>
      <c r="N76" s="46" t="s">
        <v>304</v>
      </c>
      <c r="O76" s="46" t="s">
        <v>375</v>
      </c>
      <c r="P76" s="46" t="s">
        <v>306</v>
      </c>
      <c r="Q76" s="46" t="s">
        <v>379</v>
      </c>
      <c r="R76" s="54" t="s">
        <v>307</v>
      </c>
      <c r="S76" s="46">
        <v>645</v>
      </c>
      <c r="T76" s="46">
        <v>250</v>
      </c>
      <c r="U76" s="46">
        <v>680</v>
      </c>
      <c r="V76" s="46">
        <v>45</v>
      </c>
      <c r="W76" s="46">
        <v>0</v>
      </c>
      <c r="X76" s="46">
        <v>40200</v>
      </c>
      <c r="Y76" s="46" t="s">
        <v>267</v>
      </c>
      <c r="Z76" s="46" t="s">
        <v>309</v>
      </c>
      <c r="AA76" s="46" t="s">
        <v>309</v>
      </c>
      <c r="AB76" s="46">
        <v>2.5</v>
      </c>
    </row>
    <row r="77" spans="1:28" ht="16.5" customHeight="1">
      <c r="A77" s="46">
        <v>40203</v>
      </c>
      <c r="B77" s="46">
        <v>40200</v>
      </c>
      <c r="C77" s="46" t="s">
        <v>373</v>
      </c>
      <c r="D77" s="46">
        <v>0</v>
      </c>
      <c r="E77" s="46">
        <v>2</v>
      </c>
      <c r="F77" s="46">
        <v>15</v>
      </c>
      <c r="G77" s="46">
        <v>1</v>
      </c>
      <c r="H77" s="46">
        <v>3</v>
      </c>
      <c r="I77" s="46">
        <v>74</v>
      </c>
      <c r="J77" s="46" t="s">
        <v>392</v>
      </c>
      <c r="K77" s="46" t="s">
        <v>393</v>
      </c>
      <c r="L77" s="46" t="s">
        <v>328</v>
      </c>
      <c r="M77" s="46" t="s">
        <v>303</v>
      </c>
      <c r="N77" s="46" t="s">
        <v>304</v>
      </c>
      <c r="O77" s="46" t="s">
        <v>375</v>
      </c>
      <c r="P77" s="46" t="s">
        <v>306</v>
      </c>
      <c r="Q77" s="46" t="s">
        <v>379</v>
      </c>
      <c r="R77" s="54" t="s">
        <v>307</v>
      </c>
      <c r="S77" s="46">
        <v>690</v>
      </c>
      <c r="T77" s="46">
        <v>250</v>
      </c>
      <c r="U77" s="46">
        <v>680</v>
      </c>
      <c r="V77" s="46">
        <v>45</v>
      </c>
      <c r="W77" s="46">
        <v>0</v>
      </c>
      <c r="X77" s="46">
        <v>40200</v>
      </c>
      <c r="Y77" s="46" t="s">
        <v>267</v>
      </c>
      <c r="Z77" s="46" t="s">
        <v>309</v>
      </c>
      <c r="AA77" s="46" t="s">
        <v>309</v>
      </c>
      <c r="AB77" s="46">
        <v>2.5</v>
      </c>
    </row>
    <row r="78" spans="1:28" ht="16.5" customHeight="1">
      <c r="A78" s="46">
        <v>40204</v>
      </c>
      <c r="B78" s="46">
        <v>40200</v>
      </c>
      <c r="C78" s="46" t="s">
        <v>373</v>
      </c>
      <c r="D78" s="46">
        <v>0</v>
      </c>
      <c r="E78" s="46">
        <v>3</v>
      </c>
      <c r="F78" s="46">
        <v>15</v>
      </c>
      <c r="G78" s="46">
        <v>1</v>
      </c>
      <c r="H78" s="46">
        <v>3</v>
      </c>
      <c r="I78" s="46">
        <v>79</v>
      </c>
      <c r="J78" s="46" t="s">
        <v>392</v>
      </c>
      <c r="K78" s="46" t="s">
        <v>393</v>
      </c>
      <c r="L78" s="46" t="s">
        <v>328</v>
      </c>
      <c r="M78" s="46" t="s">
        <v>303</v>
      </c>
      <c r="N78" s="46" t="s">
        <v>304</v>
      </c>
      <c r="O78" s="46" t="s">
        <v>375</v>
      </c>
      <c r="P78" s="46" t="s">
        <v>306</v>
      </c>
      <c r="Q78" s="46" t="s">
        <v>379</v>
      </c>
      <c r="R78" s="54" t="s">
        <v>307</v>
      </c>
      <c r="S78" s="46">
        <v>735</v>
      </c>
      <c r="T78" s="46">
        <v>250</v>
      </c>
      <c r="U78" s="46">
        <v>680</v>
      </c>
      <c r="V78" s="46">
        <v>45</v>
      </c>
      <c r="W78" s="46">
        <v>0</v>
      </c>
      <c r="X78" s="46">
        <v>40200</v>
      </c>
      <c r="Y78" s="46" t="s">
        <v>267</v>
      </c>
      <c r="Z78" s="46" t="s">
        <v>309</v>
      </c>
      <c r="AA78" s="46" t="s">
        <v>309</v>
      </c>
      <c r="AB78" s="46">
        <v>2.5</v>
      </c>
    </row>
    <row r="79" spans="1:28" ht="16.5" customHeight="1">
      <c r="A79" s="46">
        <v>40205</v>
      </c>
      <c r="B79" s="46">
        <v>40200</v>
      </c>
      <c r="C79" s="46" t="s">
        <v>373</v>
      </c>
      <c r="D79" s="46">
        <v>0</v>
      </c>
      <c r="E79" s="46">
        <v>4</v>
      </c>
      <c r="F79" s="46">
        <v>15</v>
      </c>
      <c r="G79" s="46">
        <v>1</v>
      </c>
      <c r="H79" s="46">
        <v>3</v>
      </c>
      <c r="I79" s="46">
        <v>84</v>
      </c>
      <c r="J79" s="46" t="s">
        <v>392</v>
      </c>
      <c r="K79" s="46" t="s">
        <v>393</v>
      </c>
      <c r="L79" s="46" t="s">
        <v>328</v>
      </c>
      <c r="M79" s="46" t="s">
        <v>303</v>
      </c>
      <c r="N79" s="46" t="s">
        <v>304</v>
      </c>
      <c r="O79" s="46" t="s">
        <v>375</v>
      </c>
      <c r="P79" s="46" t="s">
        <v>306</v>
      </c>
      <c r="Q79" s="46" t="s">
        <v>379</v>
      </c>
      <c r="R79" s="54" t="s">
        <v>307</v>
      </c>
      <c r="S79" s="46">
        <v>780</v>
      </c>
      <c r="T79" s="46">
        <v>250</v>
      </c>
      <c r="U79" s="46">
        <v>680</v>
      </c>
      <c r="V79" s="46">
        <v>45</v>
      </c>
      <c r="W79" s="46">
        <v>0</v>
      </c>
      <c r="X79" s="46">
        <v>40200</v>
      </c>
      <c r="Y79" s="46" t="s">
        <v>267</v>
      </c>
      <c r="Z79" s="46" t="s">
        <v>309</v>
      </c>
      <c r="AA79" s="46" t="s">
        <v>309</v>
      </c>
      <c r="AB79" s="46">
        <v>2.5</v>
      </c>
    </row>
    <row r="80" spans="1:28" ht="16.5" customHeight="1">
      <c r="A80" s="46">
        <v>40206</v>
      </c>
      <c r="B80" s="46">
        <v>40200</v>
      </c>
      <c r="C80" s="46" t="s">
        <v>373</v>
      </c>
      <c r="D80" s="46">
        <v>0</v>
      </c>
      <c r="E80" s="46">
        <v>5</v>
      </c>
      <c r="F80" s="46">
        <v>35</v>
      </c>
      <c r="G80" s="46">
        <v>1</v>
      </c>
      <c r="H80" s="46">
        <v>3</v>
      </c>
      <c r="I80" s="46">
        <v>89</v>
      </c>
      <c r="J80" s="46" t="s">
        <v>392</v>
      </c>
      <c r="K80" s="46" t="s">
        <v>393</v>
      </c>
      <c r="L80" s="46" t="s">
        <v>328</v>
      </c>
      <c r="M80" s="46" t="s">
        <v>303</v>
      </c>
      <c r="N80" s="46" t="s">
        <v>304</v>
      </c>
      <c r="O80" s="46" t="s">
        <v>375</v>
      </c>
      <c r="P80" s="46" t="s">
        <v>306</v>
      </c>
      <c r="Q80" s="46" t="s">
        <v>379</v>
      </c>
      <c r="R80" s="54" t="s">
        <v>307</v>
      </c>
      <c r="S80" s="46">
        <v>825</v>
      </c>
      <c r="T80" s="46">
        <v>250</v>
      </c>
      <c r="U80" s="46">
        <v>680</v>
      </c>
      <c r="V80" s="46">
        <v>45</v>
      </c>
      <c r="W80" s="46">
        <v>0</v>
      </c>
      <c r="X80" s="46">
        <v>40200</v>
      </c>
      <c r="Y80" s="46" t="s">
        <v>267</v>
      </c>
      <c r="Z80" s="46" t="s">
        <v>309</v>
      </c>
      <c r="AA80" s="46" t="s">
        <v>309</v>
      </c>
      <c r="AB80" s="46">
        <v>2.5</v>
      </c>
    </row>
    <row r="81" spans="1:28" ht="16.5" customHeight="1">
      <c r="A81" s="46">
        <v>40207</v>
      </c>
      <c r="B81" s="46">
        <v>40200</v>
      </c>
      <c r="C81" s="46" t="s">
        <v>373</v>
      </c>
      <c r="D81" s="46">
        <v>1</v>
      </c>
      <c r="E81" s="46">
        <v>0</v>
      </c>
      <c r="F81" s="46">
        <v>35</v>
      </c>
      <c r="G81" s="46">
        <v>2</v>
      </c>
      <c r="H81" s="46">
        <v>3</v>
      </c>
      <c r="I81" s="46">
        <v>100</v>
      </c>
      <c r="J81" s="46" t="s">
        <v>392</v>
      </c>
      <c r="K81" s="46" t="s">
        <v>394</v>
      </c>
      <c r="L81" s="46" t="s">
        <v>328</v>
      </c>
      <c r="M81" s="46" t="s">
        <v>303</v>
      </c>
      <c r="N81" s="46" t="s">
        <v>304</v>
      </c>
      <c r="O81" s="46" t="s">
        <v>375</v>
      </c>
      <c r="P81" s="46" t="s">
        <v>306</v>
      </c>
      <c r="Q81" s="46" t="s">
        <v>379</v>
      </c>
      <c r="R81" s="54" t="s">
        <v>307</v>
      </c>
      <c r="S81" s="46">
        <v>870</v>
      </c>
      <c r="T81" s="46">
        <v>290</v>
      </c>
      <c r="U81" s="46">
        <v>760</v>
      </c>
      <c r="V81" s="46">
        <v>48</v>
      </c>
      <c r="W81" s="46">
        <v>0</v>
      </c>
      <c r="X81" s="46">
        <v>40200</v>
      </c>
      <c r="Y81" s="46" t="s">
        <v>267</v>
      </c>
      <c r="Z81" s="46" t="s">
        <v>309</v>
      </c>
      <c r="AA81" s="46" t="s">
        <v>309</v>
      </c>
      <c r="AB81" s="46">
        <v>2.5</v>
      </c>
    </row>
    <row r="82" spans="1:28" ht="16.5" customHeight="1">
      <c r="A82" s="46">
        <v>40208</v>
      </c>
      <c r="B82" s="46">
        <v>40200</v>
      </c>
      <c r="C82" s="46" t="s">
        <v>373</v>
      </c>
      <c r="D82" s="46">
        <v>1</v>
      </c>
      <c r="E82" s="46">
        <v>1</v>
      </c>
      <c r="F82" s="46">
        <v>35</v>
      </c>
      <c r="G82" s="46">
        <v>2</v>
      </c>
      <c r="H82" s="46">
        <v>3</v>
      </c>
      <c r="I82" s="46">
        <v>110</v>
      </c>
      <c r="J82" s="46" t="s">
        <v>392</v>
      </c>
      <c r="K82" s="46" t="s">
        <v>394</v>
      </c>
      <c r="L82" s="46" t="s">
        <v>328</v>
      </c>
      <c r="M82" s="46" t="s">
        <v>303</v>
      </c>
      <c r="N82" s="46" t="s">
        <v>304</v>
      </c>
      <c r="O82" s="46" t="s">
        <v>375</v>
      </c>
      <c r="P82" s="46" t="s">
        <v>306</v>
      </c>
      <c r="Q82" s="46" t="s">
        <v>379</v>
      </c>
      <c r="R82" s="54" t="s">
        <v>307</v>
      </c>
      <c r="S82" s="46">
        <v>915</v>
      </c>
      <c r="T82" s="46">
        <v>290</v>
      </c>
      <c r="U82" s="46">
        <v>760</v>
      </c>
      <c r="V82" s="46">
        <v>48</v>
      </c>
      <c r="W82" s="46">
        <v>0</v>
      </c>
      <c r="X82" s="46">
        <v>40200</v>
      </c>
      <c r="Y82" s="46" t="s">
        <v>267</v>
      </c>
      <c r="Z82" s="46" t="s">
        <v>309</v>
      </c>
      <c r="AA82" s="46" t="s">
        <v>309</v>
      </c>
      <c r="AB82" s="46">
        <v>2.5</v>
      </c>
    </row>
    <row r="83" spans="1:28" ht="16.5" customHeight="1">
      <c r="A83" s="46">
        <v>40209</v>
      </c>
      <c r="B83" s="46">
        <v>40200</v>
      </c>
      <c r="C83" s="46" t="s">
        <v>373</v>
      </c>
      <c r="D83" s="46">
        <v>1</v>
      </c>
      <c r="E83" s="46">
        <v>2</v>
      </c>
      <c r="F83" s="46">
        <v>35</v>
      </c>
      <c r="G83" s="46">
        <v>2</v>
      </c>
      <c r="H83" s="46">
        <v>3</v>
      </c>
      <c r="I83" s="46">
        <v>121</v>
      </c>
      <c r="J83" s="46" t="s">
        <v>392</v>
      </c>
      <c r="K83" s="46" t="s">
        <v>394</v>
      </c>
      <c r="L83" s="46" t="s">
        <v>328</v>
      </c>
      <c r="M83" s="46" t="s">
        <v>303</v>
      </c>
      <c r="N83" s="46" t="s">
        <v>304</v>
      </c>
      <c r="O83" s="46" t="s">
        <v>375</v>
      </c>
      <c r="P83" s="46" t="s">
        <v>306</v>
      </c>
      <c r="Q83" s="46" t="s">
        <v>379</v>
      </c>
      <c r="R83" s="54" t="s">
        <v>307</v>
      </c>
      <c r="S83" s="46">
        <v>960</v>
      </c>
      <c r="T83" s="46">
        <v>290</v>
      </c>
      <c r="U83" s="46">
        <v>760</v>
      </c>
      <c r="V83" s="46">
        <v>48</v>
      </c>
      <c r="W83" s="46">
        <v>0</v>
      </c>
      <c r="X83" s="46">
        <v>40200</v>
      </c>
      <c r="Y83" s="46" t="s">
        <v>267</v>
      </c>
      <c r="Z83" s="46" t="s">
        <v>309</v>
      </c>
      <c r="AA83" s="46" t="s">
        <v>309</v>
      </c>
      <c r="AB83" s="46">
        <v>2.5</v>
      </c>
    </row>
    <row r="84" spans="1:28" ht="16.5" customHeight="1">
      <c r="A84" s="46">
        <v>40210</v>
      </c>
      <c r="B84" s="46">
        <v>40200</v>
      </c>
      <c r="C84" s="46" t="s">
        <v>373</v>
      </c>
      <c r="D84" s="46">
        <v>1</v>
      </c>
      <c r="E84" s="46">
        <v>3</v>
      </c>
      <c r="F84" s="46">
        <v>35</v>
      </c>
      <c r="G84" s="46">
        <v>2</v>
      </c>
      <c r="H84" s="46">
        <v>3</v>
      </c>
      <c r="I84" s="46">
        <v>131</v>
      </c>
      <c r="J84" s="46" t="s">
        <v>392</v>
      </c>
      <c r="K84" s="46" t="s">
        <v>394</v>
      </c>
      <c r="L84" s="46" t="s">
        <v>328</v>
      </c>
      <c r="M84" s="46" t="s">
        <v>303</v>
      </c>
      <c r="N84" s="46" t="s">
        <v>304</v>
      </c>
      <c r="O84" s="46" t="s">
        <v>375</v>
      </c>
      <c r="P84" s="46" t="s">
        <v>306</v>
      </c>
      <c r="Q84" s="46" t="s">
        <v>379</v>
      </c>
      <c r="R84" s="54" t="s">
        <v>307</v>
      </c>
      <c r="S84" s="46">
        <v>1005</v>
      </c>
      <c r="T84" s="46">
        <v>290</v>
      </c>
      <c r="U84" s="46">
        <v>760</v>
      </c>
      <c r="V84" s="46">
        <v>48</v>
      </c>
      <c r="W84" s="46">
        <v>0</v>
      </c>
      <c r="X84" s="46">
        <v>40200</v>
      </c>
      <c r="Y84" s="46" t="s">
        <v>267</v>
      </c>
      <c r="Z84" s="46" t="s">
        <v>309</v>
      </c>
      <c r="AA84" s="46" t="s">
        <v>309</v>
      </c>
      <c r="AB84" s="46">
        <v>2.5</v>
      </c>
    </row>
    <row r="85" spans="1:28" ht="16.5" customHeight="1">
      <c r="A85" s="46">
        <v>40211</v>
      </c>
      <c r="B85" s="46">
        <v>40200</v>
      </c>
      <c r="C85" s="46" t="s">
        <v>373</v>
      </c>
      <c r="D85" s="46">
        <v>1</v>
      </c>
      <c r="E85" s="46">
        <v>4</v>
      </c>
      <c r="F85" s="46">
        <v>35</v>
      </c>
      <c r="G85" s="46">
        <v>2</v>
      </c>
      <c r="H85" s="46">
        <v>3</v>
      </c>
      <c r="I85" s="46">
        <v>142</v>
      </c>
      <c r="J85" s="46" t="s">
        <v>392</v>
      </c>
      <c r="K85" s="46" t="s">
        <v>394</v>
      </c>
      <c r="L85" s="46" t="s">
        <v>328</v>
      </c>
      <c r="M85" s="46" t="s">
        <v>303</v>
      </c>
      <c r="N85" s="46" t="s">
        <v>304</v>
      </c>
      <c r="O85" s="46" t="s">
        <v>375</v>
      </c>
      <c r="P85" s="46" t="s">
        <v>306</v>
      </c>
      <c r="Q85" s="46" t="s">
        <v>379</v>
      </c>
      <c r="R85" s="54" t="s">
        <v>307</v>
      </c>
      <c r="S85" s="46">
        <v>1050</v>
      </c>
      <c r="T85" s="46">
        <v>290</v>
      </c>
      <c r="U85" s="46">
        <v>760</v>
      </c>
      <c r="V85" s="46">
        <v>48</v>
      </c>
      <c r="W85" s="46">
        <v>0</v>
      </c>
      <c r="X85" s="46">
        <v>40200</v>
      </c>
      <c r="Y85" s="46" t="s">
        <v>267</v>
      </c>
      <c r="Z85" s="46" t="s">
        <v>309</v>
      </c>
      <c r="AA85" s="46" t="s">
        <v>309</v>
      </c>
      <c r="AB85" s="46">
        <v>2.5</v>
      </c>
    </row>
    <row r="86" spans="1:28" ht="16.5" customHeight="1">
      <c r="A86" s="46">
        <v>40212</v>
      </c>
      <c r="B86" s="46">
        <v>40200</v>
      </c>
      <c r="C86" s="46" t="s">
        <v>373</v>
      </c>
      <c r="D86" s="46">
        <v>1</v>
      </c>
      <c r="E86" s="46">
        <v>5</v>
      </c>
      <c r="F86" s="46">
        <v>70</v>
      </c>
      <c r="G86" s="46">
        <v>2</v>
      </c>
      <c r="H86" s="46">
        <v>3</v>
      </c>
      <c r="I86" s="46">
        <v>152</v>
      </c>
      <c r="J86" s="46" t="s">
        <v>392</v>
      </c>
      <c r="K86" s="46" t="s">
        <v>394</v>
      </c>
      <c r="L86" s="46" t="s">
        <v>328</v>
      </c>
      <c r="M86" s="46" t="s">
        <v>303</v>
      </c>
      <c r="N86" s="46" t="s">
        <v>304</v>
      </c>
      <c r="O86" s="46" t="s">
        <v>375</v>
      </c>
      <c r="P86" s="46" t="s">
        <v>306</v>
      </c>
      <c r="Q86" s="46" t="s">
        <v>379</v>
      </c>
      <c r="R86" s="54" t="s">
        <v>307</v>
      </c>
      <c r="S86" s="46">
        <v>1095</v>
      </c>
      <c r="T86" s="46">
        <v>290</v>
      </c>
      <c r="U86" s="46">
        <v>760</v>
      </c>
      <c r="V86" s="46">
        <v>48</v>
      </c>
      <c r="W86" s="46">
        <v>0</v>
      </c>
      <c r="X86" s="46">
        <v>40200</v>
      </c>
      <c r="Y86" s="46" t="s">
        <v>267</v>
      </c>
      <c r="Z86" s="46" t="s">
        <v>309</v>
      </c>
      <c r="AA86" s="46" t="s">
        <v>309</v>
      </c>
      <c r="AB86" s="46">
        <v>2.5</v>
      </c>
    </row>
    <row r="87" spans="1:28" ht="16.5" customHeight="1">
      <c r="A87" s="46">
        <v>40213</v>
      </c>
      <c r="B87" s="46">
        <v>40200</v>
      </c>
      <c r="C87" s="46" t="s">
        <v>373</v>
      </c>
      <c r="D87" s="46">
        <v>2</v>
      </c>
      <c r="E87" s="46">
        <v>0</v>
      </c>
      <c r="F87" s="46">
        <v>70</v>
      </c>
      <c r="G87" s="46">
        <v>4</v>
      </c>
      <c r="H87" s="46">
        <v>3</v>
      </c>
      <c r="I87" s="46">
        <v>168</v>
      </c>
      <c r="J87" s="46" t="s">
        <v>392</v>
      </c>
      <c r="K87" s="46" t="s">
        <v>395</v>
      </c>
      <c r="L87" s="46" t="s">
        <v>328</v>
      </c>
      <c r="M87" s="46" t="s">
        <v>303</v>
      </c>
      <c r="N87" s="46" t="s">
        <v>304</v>
      </c>
      <c r="O87" s="46" t="s">
        <v>375</v>
      </c>
      <c r="P87" s="46" t="s">
        <v>306</v>
      </c>
      <c r="Q87" s="46" t="s">
        <v>379</v>
      </c>
      <c r="R87" s="54" t="s">
        <v>307</v>
      </c>
      <c r="S87" s="46">
        <v>1140</v>
      </c>
      <c r="T87" s="46">
        <v>330</v>
      </c>
      <c r="U87" s="46">
        <v>840</v>
      </c>
      <c r="V87" s="46">
        <v>51</v>
      </c>
      <c r="W87" s="46">
        <v>0</v>
      </c>
      <c r="X87" s="46">
        <v>40200</v>
      </c>
      <c r="Y87" s="46" t="s">
        <v>267</v>
      </c>
      <c r="Z87" s="46" t="s">
        <v>309</v>
      </c>
      <c r="AA87" s="46" t="s">
        <v>309</v>
      </c>
      <c r="AB87" s="46">
        <v>2.5</v>
      </c>
    </row>
    <row r="88" spans="1:28" ht="16.5" customHeight="1">
      <c r="A88" s="46">
        <v>40214</v>
      </c>
      <c r="B88" s="46">
        <v>40200</v>
      </c>
      <c r="C88" s="46" t="s">
        <v>373</v>
      </c>
      <c r="D88" s="46">
        <v>2</v>
      </c>
      <c r="E88" s="46">
        <v>1</v>
      </c>
      <c r="F88" s="46">
        <v>70</v>
      </c>
      <c r="G88" s="46">
        <v>4</v>
      </c>
      <c r="H88" s="46">
        <v>3</v>
      </c>
      <c r="I88" s="46">
        <v>184</v>
      </c>
      <c r="J88" s="46" t="s">
        <v>392</v>
      </c>
      <c r="K88" s="46" t="s">
        <v>395</v>
      </c>
      <c r="L88" s="46" t="s">
        <v>328</v>
      </c>
      <c r="M88" s="46" t="s">
        <v>303</v>
      </c>
      <c r="N88" s="46" t="s">
        <v>304</v>
      </c>
      <c r="O88" s="46" t="s">
        <v>375</v>
      </c>
      <c r="P88" s="46" t="s">
        <v>306</v>
      </c>
      <c r="Q88" s="46" t="s">
        <v>379</v>
      </c>
      <c r="R88" s="54" t="s">
        <v>307</v>
      </c>
      <c r="S88" s="46">
        <v>1185</v>
      </c>
      <c r="T88" s="46">
        <v>330</v>
      </c>
      <c r="U88" s="46">
        <v>840</v>
      </c>
      <c r="V88" s="46">
        <v>51</v>
      </c>
      <c r="W88" s="46">
        <v>0</v>
      </c>
      <c r="X88" s="46">
        <v>40200</v>
      </c>
      <c r="Y88" s="46" t="s">
        <v>267</v>
      </c>
      <c r="Z88" s="46" t="s">
        <v>309</v>
      </c>
      <c r="AA88" s="46" t="s">
        <v>309</v>
      </c>
      <c r="AB88" s="46">
        <v>2.5</v>
      </c>
    </row>
    <row r="89" spans="1:28" ht="16.5" customHeight="1">
      <c r="A89" s="46">
        <v>40215</v>
      </c>
      <c r="B89" s="46">
        <v>40200</v>
      </c>
      <c r="C89" s="46" t="s">
        <v>373</v>
      </c>
      <c r="D89" s="46">
        <v>2</v>
      </c>
      <c r="E89" s="46">
        <v>2</v>
      </c>
      <c r="F89" s="46">
        <v>70</v>
      </c>
      <c r="G89" s="46">
        <v>4</v>
      </c>
      <c r="H89" s="46">
        <v>3</v>
      </c>
      <c r="I89" s="46">
        <v>200</v>
      </c>
      <c r="J89" s="46" t="s">
        <v>392</v>
      </c>
      <c r="K89" s="46" t="s">
        <v>395</v>
      </c>
      <c r="L89" s="46" t="s">
        <v>328</v>
      </c>
      <c r="M89" s="46" t="s">
        <v>303</v>
      </c>
      <c r="N89" s="46" t="s">
        <v>304</v>
      </c>
      <c r="O89" s="46" t="s">
        <v>375</v>
      </c>
      <c r="P89" s="46" t="s">
        <v>306</v>
      </c>
      <c r="Q89" s="46" t="s">
        <v>379</v>
      </c>
      <c r="R89" s="54" t="s">
        <v>307</v>
      </c>
      <c r="S89" s="46">
        <v>1230</v>
      </c>
      <c r="T89" s="46">
        <v>330</v>
      </c>
      <c r="U89" s="46">
        <v>840</v>
      </c>
      <c r="V89" s="46">
        <v>51</v>
      </c>
      <c r="W89" s="46">
        <v>0</v>
      </c>
      <c r="X89" s="46">
        <v>40200</v>
      </c>
      <c r="Y89" s="46" t="s">
        <v>267</v>
      </c>
      <c r="Z89" s="46" t="s">
        <v>309</v>
      </c>
      <c r="AA89" s="46" t="s">
        <v>309</v>
      </c>
      <c r="AB89" s="46">
        <v>2.5</v>
      </c>
    </row>
    <row r="90" spans="1:28" ht="16.5" customHeight="1">
      <c r="A90" s="46">
        <v>40216</v>
      </c>
      <c r="B90" s="46">
        <v>40200</v>
      </c>
      <c r="C90" s="46" t="s">
        <v>373</v>
      </c>
      <c r="D90" s="46">
        <v>2</v>
      </c>
      <c r="E90" s="46">
        <v>3</v>
      </c>
      <c r="F90" s="46">
        <v>70</v>
      </c>
      <c r="G90" s="46">
        <v>4</v>
      </c>
      <c r="H90" s="46">
        <v>3</v>
      </c>
      <c r="I90" s="46">
        <v>215</v>
      </c>
      <c r="J90" s="46" t="s">
        <v>392</v>
      </c>
      <c r="K90" s="46" t="s">
        <v>395</v>
      </c>
      <c r="L90" s="46" t="s">
        <v>328</v>
      </c>
      <c r="M90" s="46" t="s">
        <v>303</v>
      </c>
      <c r="N90" s="46" t="s">
        <v>304</v>
      </c>
      <c r="O90" s="46" t="s">
        <v>375</v>
      </c>
      <c r="P90" s="46" t="s">
        <v>306</v>
      </c>
      <c r="Q90" s="46" t="s">
        <v>379</v>
      </c>
      <c r="R90" s="54" t="s">
        <v>307</v>
      </c>
      <c r="S90" s="46">
        <v>1275</v>
      </c>
      <c r="T90" s="46">
        <v>330</v>
      </c>
      <c r="U90" s="46">
        <v>840</v>
      </c>
      <c r="V90" s="46">
        <v>51</v>
      </c>
      <c r="W90" s="46">
        <v>0</v>
      </c>
      <c r="X90" s="46">
        <v>40200</v>
      </c>
      <c r="Y90" s="46" t="s">
        <v>267</v>
      </c>
      <c r="Z90" s="46" t="s">
        <v>309</v>
      </c>
      <c r="AA90" s="46" t="s">
        <v>309</v>
      </c>
      <c r="AB90" s="46">
        <v>2.5</v>
      </c>
    </row>
    <row r="91" spans="1:28" ht="16.5" customHeight="1">
      <c r="A91" s="46">
        <v>40217</v>
      </c>
      <c r="B91" s="46">
        <v>40200</v>
      </c>
      <c r="C91" s="46" t="s">
        <v>373</v>
      </c>
      <c r="D91" s="46">
        <v>2</v>
      </c>
      <c r="E91" s="46">
        <v>4</v>
      </c>
      <c r="F91" s="46">
        <v>70</v>
      </c>
      <c r="G91" s="46">
        <v>4</v>
      </c>
      <c r="H91" s="46">
        <v>3</v>
      </c>
      <c r="I91" s="46">
        <v>231</v>
      </c>
      <c r="J91" s="46" t="s">
        <v>392</v>
      </c>
      <c r="K91" s="46" t="s">
        <v>395</v>
      </c>
      <c r="L91" s="46" t="s">
        <v>328</v>
      </c>
      <c r="M91" s="46" t="s">
        <v>303</v>
      </c>
      <c r="N91" s="46" t="s">
        <v>304</v>
      </c>
      <c r="O91" s="46" t="s">
        <v>375</v>
      </c>
      <c r="P91" s="46" t="s">
        <v>306</v>
      </c>
      <c r="Q91" s="46" t="s">
        <v>379</v>
      </c>
      <c r="R91" s="54" t="s">
        <v>307</v>
      </c>
      <c r="S91" s="46">
        <v>1320</v>
      </c>
      <c r="T91" s="46">
        <v>330</v>
      </c>
      <c r="U91" s="46">
        <v>840</v>
      </c>
      <c r="V91" s="46">
        <v>51</v>
      </c>
      <c r="W91" s="46">
        <v>0</v>
      </c>
      <c r="X91" s="46">
        <v>40200</v>
      </c>
      <c r="Y91" s="46" t="s">
        <v>267</v>
      </c>
      <c r="Z91" s="46" t="s">
        <v>309</v>
      </c>
      <c r="AA91" s="46" t="s">
        <v>309</v>
      </c>
      <c r="AB91" s="46">
        <v>2.5</v>
      </c>
    </row>
    <row r="92" spans="1:28" ht="16.5" customHeight="1">
      <c r="A92" s="46">
        <v>40218</v>
      </c>
      <c r="B92" s="46">
        <v>40200</v>
      </c>
      <c r="C92" s="46" t="s">
        <v>373</v>
      </c>
      <c r="D92" s="46">
        <v>2</v>
      </c>
      <c r="E92" s="46">
        <v>5</v>
      </c>
      <c r="F92" s="46">
        <v>100</v>
      </c>
      <c r="G92" s="46">
        <v>4</v>
      </c>
      <c r="H92" s="46">
        <v>4</v>
      </c>
      <c r="I92" s="46">
        <v>247</v>
      </c>
      <c r="J92" s="46" t="s">
        <v>392</v>
      </c>
      <c r="K92" s="46" t="s">
        <v>395</v>
      </c>
      <c r="L92" s="46" t="s">
        <v>328</v>
      </c>
      <c r="M92" s="46" t="s">
        <v>303</v>
      </c>
      <c r="N92" s="46" t="s">
        <v>304</v>
      </c>
      <c r="O92" s="46" t="s">
        <v>375</v>
      </c>
      <c r="P92" s="46" t="s">
        <v>306</v>
      </c>
      <c r="Q92" s="46" t="s">
        <v>379</v>
      </c>
      <c r="R92" s="54" t="s">
        <v>307</v>
      </c>
      <c r="S92" s="46">
        <v>1365</v>
      </c>
      <c r="T92" s="46">
        <v>330</v>
      </c>
      <c r="U92" s="46">
        <v>840</v>
      </c>
      <c r="V92" s="46">
        <v>51</v>
      </c>
      <c r="W92" s="46">
        <v>0</v>
      </c>
      <c r="X92" s="46">
        <v>40200</v>
      </c>
      <c r="Y92" s="46" t="s">
        <v>267</v>
      </c>
      <c r="Z92" s="46" t="s">
        <v>309</v>
      </c>
      <c r="AA92" s="46" t="s">
        <v>309</v>
      </c>
      <c r="AB92" s="46">
        <v>2.5</v>
      </c>
    </row>
    <row r="93" spans="1:28" ht="16.5" customHeight="1">
      <c r="A93" s="46">
        <v>40219</v>
      </c>
      <c r="B93" s="46">
        <v>40200</v>
      </c>
      <c r="C93" s="46" t="s">
        <v>373</v>
      </c>
      <c r="D93" s="46">
        <v>3</v>
      </c>
      <c r="E93" s="46">
        <v>0</v>
      </c>
      <c r="F93" s="46">
        <v>100</v>
      </c>
      <c r="G93" s="46">
        <v>8</v>
      </c>
      <c r="H93" s="46">
        <v>4</v>
      </c>
      <c r="I93" s="46">
        <v>268</v>
      </c>
      <c r="J93" s="46" t="s">
        <v>392</v>
      </c>
      <c r="K93" s="46" t="s">
        <v>396</v>
      </c>
      <c r="L93" s="46" t="s">
        <v>328</v>
      </c>
      <c r="M93" s="46" t="s">
        <v>303</v>
      </c>
      <c r="N93" s="46" t="s">
        <v>304</v>
      </c>
      <c r="O93" s="46" t="s">
        <v>375</v>
      </c>
      <c r="P93" s="46" t="s">
        <v>306</v>
      </c>
      <c r="Q93" s="46" t="s">
        <v>379</v>
      </c>
      <c r="R93" s="54" t="s">
        <v>307</v>
      </c>
      <c r="S93" s="46">
        <v>1435</v>
      </c>
      <c r="T93" s="46">
        <v>370</v>
      </c>
      <c r="U93" s="46">
        <v>950</v>
      </c>
      <c r="V93" s="46">
        <v>55</v>
      </c>
      <c r="W93" s="46">
        <v>0</v>
      </c>
      <c r="X93" s="46">
        <v>40200</v>
      </c>
      <c r="Y93" s="46" t="s">
        <v>267</v>
      </c>
      <c r="Z93" s="46" t="s">
        <v>309</v>
      </c>
      <c r="AA93" s="46" t="s">
        <v>309</v>
      </c>
      <c r="AB93" s="46">
        <v>2.5</v>
      </c>
    </row>
    <row r="94" spans="1:28" ht="16.5" customHeight="1">
      <c r="A94" s="46">
        <v>40220</v>
      </c>
      <c r="B94" s="46">
        <v>40200</v>
      </c>
      <c r="C94" s="46" t="s">
        <v>373</v>
      </c>
      <c r="D94" s="46">
        <v>3</v>
      </c>
      <c r="E94" s="46">
        <v>1</v>
      </c>
      <c r="F94" s="46">
        <v>100</v>
      </c>
      <c r="G94" s="46">
        <v>8</v>
      </c>
      <c r="H94" s="46">
        <v>4</v>
      </c>
      <c r="I94" s="46">
        <v>289</v>
      </c>
      <c r="J94" s="46" t="s">
        <v>392</v>
      </c>
      <c r="K94" s="46" t="s">
        <v>396</v>
      </c>
      <c r="L94" s="46" t="s">
        <v>328</v>
      </c>
      <c r="M94" s="46" t="s">
        <v>303</v>
      </c>
      <c r="N94" s="46" t="s">
        <v>304</v>
      </c>
      <c r="O94" s="46" t="s">
        <v>375</v>
      </c>
      <c r="P94" s="46" t="s">
        <v>306</v>
      </c>
      <c r="Q94" s="46" t="s">
        <v>379</v>
      </c>
      <c r="R94" s="54" t="s">
        <v>307</v>
      </c>
      <c r="S94" s="46">
        <v>1505</v>
      </c>
      <c r="T94" s="46">
        <v>370</v>
      </c>
      <c r="U94" s="46">
        <v>950</v>
      </c>
      <c r="V94" s="46">
        <v>55</v>
      </c>
      <c r="W94" s="46">
        <v>0</v>
      </c>
      <c r="X94" s="46">
        <v>40200</v>
      </c>
      <c r="Y94" s="46" t="s">
        <v>267</v>
      </c>
      <c r="Z94" s="46" t="s">
        <v>309</v>
      </c>
      <c r="AA94" s="46" t="s">
        <v>309</v>
      </c>
      <c r="AB94" s="46">
        <v>2.5</v>
      </c>
    </row>
    <row r="95" spans="1:28" ht="16.5" customHeight="1">
      <c r="A95" s="46">
        <v>40221</v>
      </c>
      <c r="B95" s="46">
        <v>40200</v>
      </c>
      <c r="C95" s="46" t="s">
        <v>373</v>
      </c>
      <c r="D95" s="46">
        <v>3</v>
      </c>
      <c r="E95" s="46">
        <v>2</v>
      </c>
      <c r="F95" s="46">
        <v>100</v>
      </c>
      <c r="G95" s="46">
        <v>8</v>
      </c>
      <c r="H95" s="46">
        <v>4</v>
      </c>
      <c r="I95" s="46">
        <v>310</v>
      </c>
      <c r="J95" s="46" t="s">
        <v>392</v>
      </c>
      <c r="K95" s="46" t="s">
        <v>396</v>
      </c>
      <c r="L95" s="46" t="s">
        <v>328</v>
      </c>
      <c r="M95" s="46" t="s">
        <v>303</v>
      </c>
      <c r="N95" s="46" t="s">
        <v>304</v>
      </c>
      <c r="O95" s="46" t="s">
        <v>375</v>
      </c>
      <c r="P95" s="46" t="s">
        <v>306</v>
      </c>
      <c r="Q95" s="46" t="s">
        <v>379</v>
      </c>
      <c r="R95" s="54" t="s">
        <v>307</v>
      </c>
      <c r="S95" s="46">
        <v>1575</v>
      </c>
      <c r="T95" s="46">
        <v>370</v>
      </c>
      <c r="U95" s="46">
        <v>950</v>
      </c>
      <c r="V95" s="46">
        <v>55</v>
      </c>
      <c r="W95" s="46">
        <v>0</v>
      </c>
      <c r="X95" s="46">
        <v>40200</v>
      </c>
      <c r="Y95" s="46" t="s">
        <v>267</v>
      </c>
      <c r="Z95" s="46" t="s">
        <v>309</v>
      </c>
      <c r="AA95" s="46" t="s">
        <v>309</v>
      </c>
      <c r="AB95" s="46">
        <v>2.5</v>
      </c>
    </row>
    <row r="96" spans="1:28" ht="16.5" customHeight="1">
      <c r="A96" s="46">
        <v>40222</v>
      </c>
      <c r="B96" s="46">
        <v>40200</v>
      </c>
      <c r="C96" s="46" t="s">
        <v>373</v>
      </c>
      <c r="D96" s="46">
        <v>3</v>
      </c>
      <c r="E96" s="46">
        <v>3</v>
      </c>
      <c r="F96" s="46">
        <v>100</v>
      </c>
      <c r="G96" s="46">
        <v>8</v>
      </c>
      <c r="H96" s="46">
        <v>4</v>
      </c>
      <c r="I96" s="46">
        <v>331</v>
      </c>
      <c r="J96" s="46" t="s">
        <v>392</v>
      </c>
      <c r="K96" s="46" t="s">
        <v>396</v>
      </c>
      <c r="L96" s="46" t="s">
        <v>328</v>
      </c>
      <c r="M96" s="46" t="s">
        <v>303</v>
      </c>
      <c r="N96" s="46" t="s">
        <v>304</v>
      </c>
      <c r="O96" s="46" t="s">
        <v>375</v>
      </c>
      <c r="P96" s="46" t="s">
        <v>306</v>
      </c>
      <c r="Q96" s="46" t="s">
        <v>379</v>
      </c>
      <c r="R96" s="54" t="s">
        <v>307</v>
      </c>
      <c r="S96" s="46">
        <v>1645</v>
      </c>
      <c r="T96" s="46">
        <v>370</v>
      </c>
      <c r="U96" s="46">
        <v>950</v>
      </c>
      <c r="V96" s="46">
        <v>55</v>
      </c>
      <c r="W96" s="46">
        <v>0</v>
      </c>
      <c r="X96" s="46">
        <v>40200</v>
      </c>
      <c r="Y96" s="46" t="s">
        <v>267</v>
      </c>
      <c r="Z96" s="46" t="s">
        <v>309</v>
      </c>
      <c r="AA96" s="46" t="s">
        <v>309</v>
      </c>
      <c r="AB96" s="46">
        <v>2.5</v>
      </c>
    </row>
    <row r="97" spans="1:28" ht="16.5" customHeight="1">
      <c r="A97" s="46">
        <v>40223</v>
      </c>
      <c r="B97" s="46">
        <v>40200</v>
      </c>
      <c r="C97" s="46" t="s">
        <v>373</v>
      </c>
      <c r="D97" s="46">
        <v>3</v>
      </c>
      <c r="E97" s="46">
        <v>4</v>
      </c>
      <c r="F97" s="46">
        <v>100</v>
      </c>
      <c r="G97" s="46">
        <v>8</v>
      </c>
      <c r="H97" s="46">
        <v>4</v>
      </c>
      <c r="I97" s="46">
        <v>352</v>
      </c>
      <c r="J97" s="46" t="s">
        <v>392</v>
      </c>
      <c r="K97" s="46" t="s">
        <v>396</v>
      </c>
      <c r="L97" s="46" t="s">
        <v>328</v>
      </c>
      <c r="M97" s="46" t="s">
        <v>303</v>
      </c>
      <c r="N97" s="46" t="s">
        <v>304</v>
      </c>
      <c r="O97" s="46" t="s">
        <v>375</v>
      </c>
      <c r="P97" s="46" t="s">
        <v>306</v>
      </c>
      <c r="Q97" s="46" t="s">
        <v>379</v>
      </c>
      <c r="R97" s="54" t="s">
        <v>307</v>
      </c>
      <c r="S97" s="46">
        <v>1715</v>
      </c>
      <c r="T97" s="46">
        <v>370</v>
      </c>
      <c r="U97" s="46">
        <v>950</v>
      </c>
      <c r="V97" s="46">
        <v>55</v>
      </c>
      <c r="W97" s="46">
        <v>0</v>
      </c>
      <c r="X97" s="46">
        <v>40200</v>
      </c>
      <c r="Y97" s="46" t="s">
        <v>267</v>
      </c>
      <c r="Z97" s="46" t="s">
        <v>309</v>
      </c>
      <c r="AA97" s="46" t="s">
        <v>309</v>
      </c>
      <c r="AB97" s="46">
        <v>2.5</v>
      </c>
    </row>
    <row r="98" spans="1:28" ht="16.5" customHeight="1">
      <c r="A98" s="46">
        <v>40224</v>
      </c>
      <c r="B98" s="46">
        <v>40200</v>
      </c>
      <c r="C98" s="46" t="s">
        <v>373</v>
      </c>
      <c r="D98" s="46">
        <v>3</v>
      </c>
      <c r="E98" s="46">
        <v>5</v>
      </c>
      <c r="F98" s="46">
        <v>200</v>
      </c>
      <c r="G98" s="46">
        <v>8</v>
      </c>
      <c r="H98" s="46">
        <v>5</v>
      </c>
      <c r="I98" s="46">
        <v>373</v>
      </c>
      <c r="J98" s="46" t="s">
        <v>392</v>
      </c>
      <c r="K98" s="46" t="s">
        <v>396</v>
      </c>
      <c r="L98" s="46" t="s">
        <v>328</v>
      </c>
      <c r="M98" s="46" t="s">
        <v>303</v>
      </c>
      <c r="N98" s="46" t="s">
        <v>304</v>
      </c>
      <c r="O98" s="46" t="s">
        <v>375</v>
      </c>
      <c r="P98" s="46" t="s">
        <v>306</v>
      </c>
      <c r="Q98" s="46" t="s">
        <v>379</v>
      </c>
      <c r="R98" s="54" t="s">
        <v>307</v>
      </c>
      <c r="S98" s="46">
        <v>1785</v>
      </c>
      <c r="T98" s="46">
        <v>370</v>
      </c>
      <c r="U98" s="46">
        <v>950</v>
      </c>
      <c r="V98" s="46">
        <v>55</v>
      </c>
      <c r="W98" s="46">
        <v>0</v>
      </c>
      <c r="X98" s="46">
        <v>40200</v>
      </c>
      <c r="Y98" s="46" t="s">
        <v>267</v>
      </c>
      <c r="Z98" s="46" t="s">
        <v>309</v>
      </c>
      <c r="AA98" s="46" t="s">
        <v>309</v>
      </c>
      <c r="AB98" s="46">
        <v>2.5</v>
      </c>
    </row>
    <row r="99" spans="1:28" ht="16.5" customHeight="1">
      <c r="A99" s="46">
        <v>40225</v>
      </c>
      <c r="B99" s="46">
        <v>40200</v>
      </c>
      <c r="C99" s="46" t="s">
        <v>373</v>
      </c>
      <c r="D99" s="46">
        <v>4</v>
      </c>
      <c r="E99" s="46">
        <v>0</v>
      </c>
      <c r="F99" s="46">
        <v>300</v>
      </c>
      <c r="G99" s="46">
        <v>24</v>
      </c>
      <c r="H99" s="46">
        <v>5</v>
      </c>
      <c r="I99" s="46">
        <v>399</v>
      </c>
      <c r="J99" s="46" t="s">
        <v>392</v>
      </c>
      <c r="K99" s="46" t="s">
        <v>397</v>
      </c>
      <c r="L99" s="46" t="s">
        <v>328</v>
      </c>
      <c r="M99" s="46" t="s">
        <v>303</v>
      </c>
      <c r="N99" s="46" t="s">
        <v>304</v>
      </c>
      <c r="O99" s="46" t="s">
        <v>375</v>
      </c>
      <c r="P99" s="46" t="s">
        <v>306</v>
      </c>
      <c r="Q99" s="46" t="s">
        <v>379</v>
      </c>
      <c r="R99" s="54" t="s">
        <v>307</v>
      </c>
      <c r="S99" s="46">
        <v>1855</v>
      </c>
      <c r="T99" s="46">
        <v>410</v>
      </c>
      <c r="U99" s="46">
        <v>1100</v>
      </c>
      <c r="V99" s="46">
        <v>60</v>
      </c>
      <c r="W99" s="46">
        <v>0</v>
      </c>
      <c r="X99" s="46">
        <v>40200</v>
      </c>
      <c r="Y99" s="46" t="s">
        <v>267</v>
      </c>
      <c r="Z99" s="46" t="s">
        <v>309</v>
      </c>
      <c r="AA99" s="46" t="s">
        <v>309</v>
      </c>
      <c r="AB99" s="46">
        <v>2.5</v>
      </c>
    </row>
    <row r="100" spans="1:28" ht="16.5" customHeight="1">
      <c r="A100" s="46">
        <v>40226</v>
      </c>
      <c r="B100" s="46">
        <v>40200</v>
      </c>
      <c r="C100" s="46" t="s">
        <v>373</v>
      </c>
      <c r="D100" s="46">
        <v>4</v>
      </c>
      <c r="E100" s="46">
        <v>1</v>
      </c>
      <c r="F100" s="46">
        <v>400</v>
      </c>
      <c r="G100" s="46">
        <v>24</v>
      </c>
      <c r="H100" s="46">
        <v>5</v>
      </c>
      <c r="I100" s="46">
        <v>425</v>
      </c>
      <c r="J100" s="46" t="s">
        <v>392</v>
      </c>
      <c r="K100" s="46" t="s">
        <v>397</v>
      </c>
      <c r="L100" s="46" t="s">
        <v>328</v>
      </c>
      <c r="M100" s="46" t="s">
        <v>303</v>
      </c>
      <c r="N100" s="46" t="s">
        <v>304</v>
      </c>
      <c r="O100" s="46" t="s">
        <v>375</v>
      </c>
      <c r="P100" s="46" t="s">
        <v>306</v>
      </c>
      <c r="Q100" s="46" t="s">
        <v>379</v>
      </c>
      <c r="R100" s="54" t="s">
        <v>307</v>
      </c>
      <c r="S100" s="46">
        <v>1925</v>
      </c>
      <c r="T100" s="46">
        <v>410</v>
      </c>
      <c r="U100" s="46">
        <v>1100</v>
      </c>
      <c r="V100" s="46">
        <v>60</v>
      </c>
      <c r="W100" s="46">
        <v>0</v>
      </c>
      <c r="X100" s="46">
        <v>40200</v>
      </c>
      <c r="Y100" s="46" t="s">
        <v>267</v>
      </c>
      <c r="Z100" s="46" t="s">
        <v>309</v>
      </c>
      <c r="AA100" s="46" t="s">
        <v>309</v>
      </c>
      <c r="AB100" s="46">
        <v>2.5</v>
      </c>
    </row>
    <row r="101" spans="1:28" ht="16.5" customHeight="1">
      <c r="A101" s="46">
        <v>40227</v>
      </c>
      <c r="B101" s="46">
        <v>40200</v>
      </c>
      <c r="C101" s="46" t="s">
        <v>373</v>
      </c>
      <c r="D101" s="46">
        <v>4</v>
      </c>
      <c r="E101" s="46">
        <v>2</v>
      </c>
      <c r="F101" s="46">
        <v>500</v>
      </c>
      <c r="G101" s="46">
        <v>24</v>
      </c>
      <c r="H101" s="46">
        <v>5</v>
      </c>
      <c r="I101" s="46">
        <v>452</v>
      </c>
      <c r="J101" s="46" t="s">
        <v>392</v>
      </c>
      <c r="K101" s="46" t="s">
        <v>397</v>
      </c>
      <c r="L101" s="46" t="s">
        <v>328</v>
      </c>
      <c r="M101" s="46" t="s">
        <v>303</v>
      </c>
      <c r="N101" s="46" t="s">
        <v>304</v>
      </c>
      <c r="O101" s="46" t="s">
        <v>375</v>
      </c>
      <c r="P101" s="46" t="s">
        <v>306</v>
      </c>
      <c r="Q101" s="46" t="s">
        <v>379</v>
      </c>
      <c r="R101" s="54" t="s">
        <v>307</v>
      </c>
      <c r="S101" s="46">
        <v>1995</v>
      </c>
      <c r="T101" s="46">
        <v>410</v>
      </c>
      <c r="U101" s="46">
        <v>1100</v>
      </c>
      <c r="V101" s="46">
        <v>60</v>
      </c>
      <c r="W101" s="46">
        <v>0</v>
      </c>
      <c r="X101" s="46">
        <v>40200</v>
      </c>
      <c r="Y101" s="46" t="s">
        <v>267</v>
      </c>
      <c r="Z101" s="46" t="s">
        <v>309</v>
      </c>
      <c r="AA101" s="46" t="s">
        <v>309</v>
      </c>
      <c r="AB101" s="46">
        <v>2.5</v>
      </c>
    </row>
    <row r="102" spans="1:28" ht="16.5" customHeight="1">
      <c r="A102" s="46">
        <v>40228</v>
      </c>
      <c r="B102" s="46">
        <v>40200</v>
      </c>
      <c r="C102" s="46" t="s">
        <v>373</v>
      </c>
      <c r="D102" s="46">
        <v>4</v>
      </c>
      <c r="E102" s="46">
        <v>3</v>
      </c>
      <c r="F102" s="46">
        <v>600</v>
      </c>
      <c r="G102" s="46">
        <v>24</v>
      </c>
      <c r="H102" s="46">
        <v>5</v>
      </c>
      <c r="I102" s="46">
        <v>478</v>
      </c>
      <c r="J102" s="46" t="s">
        <v>392</v>
      </c>
      <c r="K102" s="46" t="s">
        <v>397</v>
      </c>
      <c r="L102" s="46" t="s">
        <v>328</v>
      </c>
      <c r="M102" s="46" t="s">
        <v>303</v>
      </c>
      <c r="N102" s="46" t="s">
        <v>304</v>
      </c>
      <c r="O102" s="46" t="s">
        <v>375</v>
      </c>
      <c r="P102" s="46" t="s">
        <v>306</v>
      </c>
      <c r="Q102" s="46" t="s">
        <v>379</v>
      </c>
      <c r="R102" s="54" t="s">
        <v>307</v>
      </c>
      <c r="S102" s="46">
        <v>2065</v>
      </c>
      <c r="T102" s="46">
        <v>410</v>
      </c>
      <c r="U102" s="46">
        <v>1100</v>
      </c>
      <c r="V102" s="46">
        <v>60</v>
      </c>
      <c r="W102" s="46">
        <v>0</v>
      </c>
      <c r="X102" s="46">
        <v>40200</v>
      </c>
      <c r="Y102" s="46" t="s">
        <v>267</v>
      </c>
      <c r="Z102" s="46" t="s">
        <v>309</v>
      </c>
      <c r="AA102" s="46" t="s">
        <v>309</v>
      </c>
      <c r="AB102" s="46">
        <v>2.5</v>
      </c>
    </row>
    <row r="103" spans="1:28" ht="16.5" customHeight="1">
      <c r="A103" s="46">
        <v>40229</v>
      </c>
      <c r="B103" s="46">
        <v>40200</v>
      </c>
      <c r="C103" s="46" t="s">
        <v>373</v>
      </c>
      <c r="D103" s="46">
        <v>4</v>
      </c>
      <c r="E103" s="46">
        <v>4</v>
      </c>
      <c r="F103" s="46">
        <v>700</v>
      </c>
      <c r="G103" s="46">
        <v>24</v>
      </c>
      <c r="H103" s="46">
        <v>5</v>
      </c>
      <c r="I103" s="46">
        <v>504</v>
      </c>
      <c r="J103" s="46" t="s">
        <v>392</v>
      </c>
      <c r="K103" s="46" t="s">
        <v>397</v>
      </c>
      <c r="L103" s="46" t="s">
        <v>328</v>
      </c>
      <c r="M103" s="46" t="s">
        <v>303</v>
      </c>
      <c r="N103" s="46" t="s">
        <v>304</v>
      </c>
      <c r="O103" s="46" t="s">
        <v>375</v>
      </c>
      <c r="P103" s="46" t="s">
        <v>306</v>
      </c>
      <c r="Q103" s="46" t="s">
        <v>379</v>
      </c>
      <c r="R103" s="54" t="s">
        <v>307</v>
      </c>
      <c r="S103" s="46">
        <v>2135</v>
      </c>
      <c r="T103" s="46">
        <v>410</v>
      </c>
      <c r="U103" s="46">
        <v>1100</v>
      </c>
      <c r="V103" s="46">
        <v>60</v>
      </c>
      <c r="W103" s="46">
        <v>0</v>
      </c>
      <c r="X103" s="46">
        <v>40200</v>
      </c>
      <c r="Y103" s="46" t="s">
        <v>267</v>
      </c>
      <c r="Z103" s="46" t="s">
        <v>309</v>
      </c>
      <c r="AA103" s="46" t="s">
        <v>309</v>
      </c>
      <c r="AB103" s="46">
        <v>2.5</v>
      </c>
    </row>
    <row r="104" spans="1:28" ht="16.5" customHeight="1">
      <c r="A104" s="46">
        <v>40230</v>
      </c>
      <c r="B104" s="46">
        <v>40200</v>
      </c>
      <c r="C104" s="46" t="s">
        <v>373</v>
      </c>
      <c r="D104" s="46">
        <v>4</v>
      </c>
      <c r="E104" s="46">
        <v>5</v>
      </c>
      <c r="F104" s="46">
        <v>1400</v>
      </c>
      <c r="G104" s="46">
        <v>48</v>
      </c>
      <c r="H104" s="46">
        <v>6</v>
      </c>
      <c r="I104" s="46">
        <v>530</v>
      </c>
      <c r="J104" s="46" t="s">
        <v>392</v>
      </c>
      <c r="K104" s="46" t="s">
        <v>397</v>
      </c>
      <c r="L104" s="46" t="s">
        <v>328</v>
      </c>
      <c r="M104" s="46" t="s">
        <v>303</v>
      </c>
      <c r="N104" s="46" t="s">
        <v>304</v>
      </c>
      <c r="O104" s="46" t="s">
        <v>375</v>
      </c>
      <c r="P104" s="46" t="s">
        <v>306</v>
      </c>
      <c r="Q104" s="46" t="s">
        <v>379</v>
      </c>
      <c r="R104" s="54" t="s">
        <v>307</v>
      </c>
      <c r="S104" s="46">
        <v>2205</v>
      </c>
      <c r="T104" s="46">
        <v>410</v>
      </c>
      <c r="U104" s="46">
        <v>1100</v>
      </c>
      <c r="V104" s="46">
        <v>60</v>
      </c>
      <c r="W104" s="46">
        <v>0</v>
      </c>
      <c r="X104" s="46">
        <v>40200</v>
      </c>
      <c r="Y104" s="46" t="s">
        <v>267</v>
      </c>
      <c r="Z104" s="46" t="s">
        <v>309</v>
      </c>
      <c r="AA104" s="46" t="s">
        <v>309</v>
      </c>
      <c r="AB104" s="46">
        <v>2.5</v>
      </c>
    </row>
    <row r="105" spans="1:28" ht="16.5" customHeight="1">
      <c r="A105" s="46">
        <v>40231</v>
      </c>
      <c r="B105" s="46">
        <v>40200</v>
      </c>
      <c r="C105" s="46" t="s">
        <v>373</v>
      </c>
      <c r="D105" s="46">
        <v>5</v>
      </c>
      <c r="E105" s="46">
        <v>0</v>
      </c>
      <c r="F105" s="46">
        <v>2200</v>
      </c>
      <c r="G105" s="46">
        <v>48</v>
      </c>
      <c r="H105" s="46">
        <v>6</v>
      </c>
      <c r="I105" s="46">
        <v>562</v>
      </c>
      <c r="J105" s="46" t="s">
        <v>392</v>
      </c>
      <c r="K105" s="46" t="s">
        <v>398</v>
      </c>
      <c r="L105" s="46" t="s">
        <v>328</v>
      </c>
      <c r="M105" s="46" t="s">
        <v>303</v>
      </c>
      <c r="N105" s="46" t="s">
        <v>304</v>
      </c>
      <c r="O105" s="46" t="s">
        <v>375</v>
      </c>
      <c r="P105" s="46" t="s">
        <v>306</v>
      </c>
      <c r="Q105" s="46" t="s">
        <v>379</v>
      </c>
      <c r="R105" s="54" t="s">
        <v>307</v>
      </c>
      <c r="S105" s="46">
        <v>2275</v>
      </c>
      <c r="T105" s="46">
        <v>450</v>
      </c>
      <c r="U105" s="46">
        <v>1300</v>
      </c>
      <c r="V105" s="46">
        <v>70</v>
      </c>
      <c r="W105" s="46">
        <v>0</v>
      </c>
      <c r="X105" s="46">
        <v>40200</v>
      </c>
      <c r="Y105" s="46" t="s">
        <v>267</v>
      </c>
      <c r="Z105" s="46" t="s">
        <v>309</v>
      </c>
      <c r="AA105" s="46" t="s">
        <v>309</v>
      </c>
      <c r="AB105" s="46">
        <v>2.5</v>
      </c>
    </row>
    <row r="106" spans="1:28" ht="16.5" customHeight="1">
      <c r="A106" s="46">
        <v>40232</v>
      </c>
      <c r="B106" s="46">
        <v>40200</v>
      </c>
      <c r="C106" s="46" t="s">
        <v>373</v>
      </c>
      <c r="D106" s="46">
        <v>5</v>
      </c>
      <c r="E106" s="46">
        <v>1</v>
      </c>
      <c r="F106" s="46">
        <v>3300</v>
      </c>
      <c r="G106" s="46">
        <v>48</v>
      </c>
      <c r="H106" s="46">
        <v>6</v>
      </c>
      <c r="I106" s="46">
        <v>593</v>
      </c>
      <c r="J106" s="46" t="s">
        <v>392</v>
      </c>
      <c r="K106" s="46" t="s">
        <v>398</v>
      </c>
      <c r="L106" s="46" t="s">
        <v>328</v>
      </c>
      <c r="M106" s="46" t="s">
        <v>303</v>
      </c>
      <c r="N106" s="46" t="s">
        <v>304</v>
      </c>
      <c r="O106" s="46" t="s">
        <v>375</v>
      </c>
      <c r="P106" s="46" t="s">
        <v>306</v>
      </c>
      <c r="Q106" s="46" t="s">
        <v>379</v>
      </c>
      <c r="R106" s="54" t="s">
        <v>307</v>
      </c>
      <c r="S106" s="46">
        <v>2345</v>
      </c>
      <c r="T106" s="46">
        <v>450</v>
      </c>
      <c r="U106" s="46">
        <v>1300</v>
      </c>
      <c r="V106" s="46">
        <v>70</v>
      </c>
      <c r="W106" s="46">
        <v>0</v>
      </c>
      <c r="X106" s="46">
        <v>40200</v>
      </c>
      <c r="Y106" s="46" t="s">
        <v>267</v>
      </c>
      <c r="Z106" s="46" t="s">
        <v>309</v>
      </c>
      <c r="AA106" s="46" t="s">
        <v>309</v>
      </c>
      <c r="AB106" s="46">
        <v>2.5</v>
      </c>
    </row>
    <row r="107" spans="1:28" ht="16.5" customHeight="1">
      <c r="A107" s="46">
        <v>40233</v>
      </c>
      <c r="B107" s="46">
        <v>40200</v>
      </c>
      <c r="C107" s="46" t="s">
        <v>373</v>
      </c>
      <c r="D107" s="46">
        <v>5</v>
      </c>
      <c r="E107" s="46">
        <v>2</v>
      </c>
      <c r="F107" s="46">
        <v>4400</v>
      </c>
      <c r="G107" s="46">
        <v>48</v>
      </c>
      <c r="H107" s="46">
        <v>6</v>
      </c>
      <c r="I107" s="46">
        <v>625</v>
      </c>
      <c r="J107" s="46" t="s">
        <v>392</v>
      </c>
      <c r="K107" s="46" t="s">
        <v>398</v>
      </c>
      <c r="L107" s="46" t="s">
        <v>328</v>
      </c>
      <c r="M107" s="46" t="s">
        <v>303</v>
      </c>
      <c r="N107" s="46" t="s">
        <v>304</v>
      </c>
      <c r="O107" s="46" t="s">
        <v>375</v>
      </c>
      <c r="P107" s="46" t="s">
        <v>306</v>
      </c>
      <c r="Q107" s="46" t="s">
        <v>379</v>
      </c>
      <c r="R107" s="54" t="s">
        <v>307</v>
      </c>
      <c r="S107" s="46">
        <v>2415</v>
      </c>
      <c r="T107" s="46">
        <v>450</v>
      </c>
      <c r="U107" s="46">
        <v>1300</v>
      </c>
      <c r="V107" s="46">
        <v>70</v>
      </c>
      <c r="W107" s="46">
        <v>0</v>
      </c>
      <c r="X107" s="46">
        <v>40200</v>
      </c>
      <c r="Y107" s="46" t="s">
        <v>267</v>
      </c>
      <c r="Z107" s="46" t="s">
        <v>309</v>
      </c>
      <c r="AA107" s="46" t="s">
        <v>309</v>
      </c>
      <c r="AB107" s="46">
        <v>2.5</v>
      </c>
    </row>
    <row r="108" spans="1:28" ht="16.5" customHeight="1">
      <c r="A108" s="46">
        <v>40234</v>
      </c>
      <c r="B108" s="46">
        <v>40200</v>
      </c>
      <c r="C108" s="46" t="s">
        <v>373</v>
      </c>
      <c r="D108" s="46">
        <v>5</v>
      </c>
      <c r="E108" s="46">
        <v>3</v>
      </c>
      <c r="F108" s="46">
        <v>5600</v>
      </c>
      <c r="G108" s="46">
        <v>48</v>
      </c>
      <c r="H108" s="46">
        <v>6</v>
      </c>
      <c r="I108" s="46">
        <v>656</v>
      </c>
      <c r="J108" s="46" t="s">
        <v>392</v>
      </c>
      <c r="K108" s="46" t="s">
        <v>398</v>
      </c>
      <c r="L108" s="46" t="s">
        <v>328</v>
      </c>
      <c r="M108" s="46" t="s">
        <v>303</v>
      </c>
      <c r="N108" s="46" t="s">
        <v>304</v>
      </c>
      <c r="O108" s="46" t="s">
        <v>375</v>
      </c>
      <c r="P108" s="46" t="s">
        <v>306</v>
      </c>
      <c r="Q108" s="46" t="s">
        <v>379</v>
      </c>
      <c r="R108" s="54" t="s">
        <v>307</v>
      </c>
      <c r="S108" s="46">
        <v>2485</v>
      </c>
      <c r="T108" s="46">
        <v>450</v>
      </c>
      <c r="U108" s="46">
        <v>1300</v>
      </c>
      <c r="V108" s="46">
        <v>70</v>
      </c>
      <c r="W108" s="46">
        <v>0</v>
      </c>
      <c r="X108" s="46">
        <v>40200</v>
      </c>
      <c r="Y108" s="46" t="s">
        <v>267</v>
      </c>
      <c r="Z108" s="46" t="s">
        <v>309</v>
      </c>
      <c r="AA108" s="46" t="s">
        <v>309</v>
      </c>
      <c r="AB108" s="46">
        <v>2.5</v>
      </c>
    </row>
    <row r="109" spans="1:28" ht="16.5" customHeight="1">
      <c r="A109" s="46">
        <v>40235</v>
      </c>
      <c r="B109" s="46">
        <v>40200</v>
      </c>
      <c r="C109" s="46" t="s">
        <v>373</v>
      </c>
      <c r="D109" s="46">
        <v>5</v>
      </c>
      <c r="E109" s="46">
        <v>4</v>
      </c>
      <c r="F109" s="46">
        <v>6700</v>
      </c>
      <c r="G109" s="46">
        <v>48</v>
      </c>
      <c r="H109" s="46">
        <v>6</v>
      </c>
      <c r="I109" s="46">
        <v>688</v>
      </c>
      <c r="J109" s="46" t="s">
        <v>392</v>
      </c>
      <c r="K109" s="46" t="s">
        <v>398</v>
      </c>
      <c r="L109" s="46" t="s">
        <v>328</v>
      </c>
      <c r="M109" s="46" t="s">
        <v>303</v>
      </c>
      <c r="N109" s="46" t="s">
        <v>304</v>
      </c>
      <c r="O109" s="46" t="s">
        <v>375</v>
      </c>
      <c r="P109" s="46" t="s">
        <v>306</v>
      </c>
      <c r="Q109" s="46" t="s">
        <v>379</v>
      </c>
      <c r="R109" s="54" t="s">
        <v>307</v>
      </c>
      <c r="S109" s="46">
        <v>2555</v>
      </c>
      <c r="T109" s="46">
        <v>450</v>
      </c>
      <c r="U109" s="46">
        <v>1300</v>
      </c>
      <c r="V109" s="46">
        <v>70</v>
      </c>
      <c r="W109" s="46">
        <v>0</v>
      </c>
      <c r="X109" s="46">
        <v>40200</v>
      </c>
      <c r="Y109" s="46" t="s">
        <v>267</v>
      </c>
      <c r="Z109" s="46" t="s">
        <v>309</v>
      </c>
      <c r="AA109" s="46" t="s">
        <v>309</v>
      </c>
      <c r="AB109" s="46">
        <v>2.5</v>
      </c>
    </row>
    <row r="110" spans="1:28" ht="16.5" customHeight="1">
      <c r="A110" s="46">
        <v>40236</v>
      </c>
      <c r="B110" s="46">
        <v>40200</v>
      </c>
      <c r="C110" s="46" t="s">
        <v>373</v>
      </c>
      <c r="D110" s="46">
        <v>5</v>
      </c>
      <c r="E110" s="46">
        <v>5</v>
      </c>
      <c r="F110" s="46">
        <v>0</v>
      </c>
      <c r="G110" s="46">
        <v>0</v>
      </c>
      <c r="H110" s="46">
        <v>7</v>
      </c>
      <c r="I110" s="46">
        <v>719</v>
      </c>
      <c r="J110" s="46" t="s">
        <v>392</v>
      </c>
      <c r="K110" s="46" t="s">
        <v>398</v>
      </c>
      <c r="L110" s="46" t="s">
        <v>328</v>
      </c>
      <c r="M110" s="46" t="s">
        <v>303</v>
      </c>
      <c r="N110" s="46" t="s">
        <v>304</v>
      </c>
      <c r="O110" s="46" t="s">
        <v>375</v>
      </c>
      <c r="P110" s="46" t="s">
        <v>306</v>
      </c>
      <c r="Q110" s="46" t="s">
        <v>379</v>
      </c>
      <c r="R110" s="54" t="s">
        <v>307</v>
      </c>
      <c r="S110" s="46">
        <v>2625</v>
      </c>
      <c r="T110" s="46">
        <v>450</v>
      </c>
      <c r="U110" s="46">
        <v>1300</v>
      </c>
      <c r="V110" s="46">
        <v>70</v>
      </c>
      <c r="W110" s="46">
        <v>0</v>
      </c>
      <c r="X110" s="46">
        <v>40200</v>
      </c>
      <c r="Y110" s="46" t="s">
        <v>267</v>
      </c>
      <c r="Z110" s="46" t="s">
        <v>309</v>
      </c>
      <c r="AA110" s="46" t="s">
        <v>309</v>
      </c>
      <c r="AB110" s="46">
        <v>2.5</v>
      </c>
    </row>
    <row r="111" spans="1:28" ht="16.5" customHeight="1">
      <c r="A111" s="46">
        <v>40601</v>
      </c>
      <c r="B111" s="46">
        <v>40600</v>
      </c>
      <c r="C111" s="46" t="s">
        <v>373</v>
      </c>
      <c r="D111" s="46">
        <v>0</v>
      </c>
      <c r="E111" s="46">
        <v>0</v>
      </c>
      <c r="F111" s="46">
        <v>10</v>
      </c>
      <c r="G111" s="46">
        <v>1</v>
      </c>
      <c r="H111" s="46">
        <v>1</v>
      </c>
      <c r="I111" s="46">
        <v>108</v>
      </c>
      <c r="J111" s="46" t="s">
        <v>399</v>
      </c>
      <c r="K111" s="46" t="s">
        <v>400</v>
      </c>
      <c r="L111" s="46" t="s">
        <v>338</v>
      </c>
      <c r="M111" s="46" t="s">
        <v>303</v>
      </c>
      <c r="N111" s="46" t="s">
        <v>304</v>
      </c>
      <c r="O111" s="46" t="s">
        <v>375</v>
      </c>
      <c r="P111" s="46" t="s">
        <v>306</v>
      </c>
      <c r="Q111" s="46" t="s">
        <v>379</v>
      </c>
      <c r="R111" s="54" t="s">
        <v>307</v>
      </c>
      <c r="S111" s="46">
        <v>500</v>
      </c>
      <c r="T111" s="46">
        <v>400</v>
      </c>
      <c r="U111" s="46">
        <v>800</v>
      </c>
      <c r="V111" s="46">
        <v>45</v>
      </c>
      <c r="W111" s="46">
        <v>0</v>
      </c>
      <c r="X111" s="46">
        <v>40600</v>
      </c>
      <c r="Y111" s="46" t="s">
        <v>267</v>
      </c>
      <c r="Z111" s="46" t="s">
        <v>309</v>
      </c>
      <c r="AA111" s="46" t="s">
        <v>309</v>
      </c>
      <c r="AB111" s="46">
        <v>2.5</v>
      </c>
    </row>
    <row r="112" spans="1:28" ht="16.5" customHeight="1">
      <c r="A112" s="46">
        <v>40602</v>
      </c>
      <c r="B112" s="46">
        <v>40600</v>
      </c>
      <c r="C112" s="46" t="s">
        <v>373</v>
      </c>
      <c r="D112" s="46">
        <v>0</v>
      </c>
      <c r="E112" s="46">
        <v>1</v>
      </c>
      <c r="F112" s="46">
        <v>10</v>
      </c>
      <c r="G112" s="46">
        <v>1</v>
      </c>
      <c r="H112" s="46">
        <v>1</v>
      </c>
      <c r="I112" s="46">
        <v>113</v>
      </c>
      <c r="J112" s="46" t="s">
        <v>399</v>
      </c>
      <c r="K112" s="46" t="s">
        <v>400</v>
      </c>
      <c r="L112" s="46" t="s">
        <v>338</v>
      </c>
      <c r="M112" s="46" t="s">
        <v>303</v>
      </c>
      <c r="N112" s="46" t="s">
        <v>304</v>
      </c>
      <c r="O112" s="46" t="s">
        <v>375</v>
      </c>
      <c r="P112" s="46" t="s">
        <v>306</v>
      </c>
      <c r="Q112" s="46" t="s">
        <v>379</v>
      </c>
      <c r="R112" s="54" t="s">
        <v>307</v>
      </c>
      <c r="S112" s="46">
        <v>550</v>
      </c>
      <c r="T112" s="46">
        <v>400</v>
      </c>
      <c r="U112" s="46">
        <v>800</v>
      </c>
      <c r="V112" s="46">
        <v>45</v>
      </c>
      <c r="W112" s="46">
        <v>0</v>
      </c>
      <c r="X112" s="46">
        <v>40600</v>
      </c>
      <c r="Y112" s="46" t="s">
        <v>267</v>
      </c>
      <c r="Z112" s="46" t="s">
        <v>309</v>
      </c>
      <c r="AA112" s="46" t="s">
        <v>309</v>
      </c>
      <c r="AB112" s="46">
        <v>2.5</v>
      </c>
    </row>
    <row r="113" spans="1:28" ht="16.5" customHeight="1">
      <c r="A113" s="46">
        <v>40603</v>
      </c>
      <c r="B113" s="46">
        <v>40600</v>
      </c>
      <c r="C113" s="46" t="s">
        <v>373</v>
      </c>
      <c r="D113" s="46">
        <v>0</v>
      </c>
      <c r="E113" s="46">
        <v>2</v>
      </c>
      <c r="F113" s="46">
        <v>10</v>
      </c>
      <c r="G113" s="46">
        <v>1</v>
      </c>
      <c r="H113" s="46">
        <v>1</v>
      </c>
      <c r="I113" s="46">
        <v>117</v>
      </c>
      <c r="J113" s="46" t="s">
        <v>399</v>
      </c>
      <c r="K113" s="46" t="s">
        <v>400</v>
      </c>
      <c r="L113" s="46" t="s">
        <v>338</v>
      </c>
      <c r="M113" s="46" t="s">
        <v>303</v>
      </c>
      <c r="N113" s="46" t="s">
        <v>304</v>
      </c>
      <c r="O113" s="46" t="s">
        <v>375</v>
      </c>
      <c r="P113" s="46" t="s">
        <v>306</v>
      </c>
      <c r="Q113" s="46" t="s">
        <v>379</v>
      </c>
      <c r="R113" s="54" t="s">
        <v>307</v>
      </c>
      <c r="S113" s="46">
        <v>600</v>
      </c>
      <c r="T113" s="46">
        <v>400</v>
      </c>
      <c r="U113" s="46">
        <v>800</v>
      </c>
      <c r="V113" s="46">
        <v>45</v>
      </c>
      <c r="W113" s="46">
        <v>0</v>
      </c>
      <c r="X113" s="46">
        <v>40600</v>
      </c>
      <c r="Y113" s="46" t="s">
        <v>267</v>
      </c>
      <c r="Z113" s="46" t="s">
        <v>309</v>
      </c>
      <c r="AA113" s="46" t="s">
        <v>309</v>
      </c>
      <c r="AB113" s="46">
        <v>2.5</v>
      </c>
    </row>
    <row r="114" spans="1:28" ht="16.5" customHeight="1">
      <c r="A114" s="46">
        <v>40604</v>
      </c>
      <c r="B114" s="46">
        <v>40600</v>
      </c>
      <c r="C114" s="46" t="s">
        <v>373</v>
      </c>
      <c r="D114" s="46">
        <v>0</v>
      </c>
      <c r="E114" s="46">
        <v>3</v>
      </c>
      <c r="F114" s="46">
        <v>10</v>
      </c>
      <c r="G114" s="46">
        <v>1</v>
      </c>
      <c r="H114" s="46">
        <v>1</v>
      </c>
      <c r="I114" s="46">
        <v>122</v>
      </c>
      <c r="J114" s="46" t="s">
        <v>399</v>
      </c>
      <c r="K114" s="46" t="s">
        <v>400</v>
      </c>
      <c r="L114" s="46" t="s">
        <v>401</v>
      </c>
      <c r="M114" s="46" t="s">
        <v>303</v>
      </c>
      <c r="N114" s="46" t="s">
        <v>304</v>
      </c>
      <c r="O114" s="46" t="s">
        <v>375</v>
      </c>
      <c r="P114" s="46" t="s">
        <v>306</v>
      </c>
      <c r="Q114" s="46" t="s">
        <v>379</v>
      </c>
      <c r="R114" s="54" t="s">
        <v>307</v>
      </c>
      <c r="S114" s="46">
        <v>650</v>
      </c>
      <c r="T114" s="46">
        <v>400</v>
      </c>
      <c r="U114" s="46">
        <v>800</v>
      </c>
      <c r="V114" s="46">
        <v>45</v>
      </c>
      <c r="W114" s="46">
        <v>0</v>
      </c>
      <c r="X114" s="46">
        <v>40600</v>
      </c>
      <c r="Y114" s="46" t="s">
        <v>267</v>
      </c>
      <c r="Z114" s="46" t="s">
        <v>309</v>
      </c>
      <c r="AA114" s="46" t="s">
        <v>309</v>
      </c>
      <c r="AB114" s="46">
        <v>2.5</v>
      </c>
    </row>
    <row r="115" spans="1:28" ht="16.5" customHeight="1">
      <c r="A115" s="46">
        <v>40605</v>
      </c>
      <c r="B115" s="46">
        <v>40600</v>
      </c>
      <c r="C115" s="46" t="s">
        <v>373</v>
      </c>
      <c r="D115" s="46">
        <v>0</v>
      </c>
      <c r="E115" s="46">
        <v>4</v>
      </c>
      <c r="F115" s="46">
        <v>10</v>
      </c>
      <c r="G115" s="46">
        <v>1</v>
      </c>
      <c r="H115" s="46">
        <v>1</v>
      </c>
      <c r="I115" s="46">
        <v>126</v>
      </c>
      <c r="J115" s="46" t="s">
        <v>399</v>
      </c>
      <c r="K115" s="46" t="s">
        <v>400</v>
      </c>
      <c r="L115" s="46" t="s">
        <v>401</v>
      </c>
      <c r="M115" s="46" t="s">
        <v>303</v>
      </c>
      <c r="N115" s="46" t="s">
        <v>304</v>
      </c>
      <c r="O115" s="46" t="s">
        <v>375</v>
      </c>
      <c r="P115" s="46" t="s">
        <v>306</v>
      </c>
      <c r="Q115" s="46" t="s">
        <v>379</v>
      </c>
      <c r="R115" s="54" t="s">
        <v>307</v>
      </c>
      <c r="S115" s="46">
        <v>700</v>
      </c>
      <c r="T115" s="46">
        <v>400</v>
      </c>
      <c r="U115" s="46">
        <v>800</v>
      </c>
      <c r="V115" s="46">
        <v>45</v>
      </c>
      <c r="W115" s="46">
        <v>0</v>
      </c>
      <c r="X115" s="46">
        <v>40600</v>
      </c>
      <c r="Y115" s="46" t="s">
        <v>267</v>
      </c>
      <c r="Z115" s="46" t="s">
        <v>309</v>
      </c>
      <c r="AA115" s="46" t="s">
        <v>309</v>
      </c>
      <c r="AB115" s="46">
        <v>2.5</v>
      </c>
    </row>
    <row r="116" spans="1:28" ht="16.5" customHeight="1">
      <c r="A116" s="46">
        <v>40606</v>
      </c>
      <c r="B116" s="46">
        <v>40600</v>
      </c>
      <c r="C116" s="46" t="s">
        <v>373</v>
      </c>
      <c r="D116" s="46">
        <v>0</v>
      </c>
      <c r="E116" s="46">
        <v>5</v>
      </c>
      <c r="F116" s="46">
        <v>20</v>
      </c>
      <c r="G116" s="46">
        <v>1</v>
      </c>
      <c r="H116" s="46">
        <v>2</v>
      </c>
      <c r="I116" s="46">
        <v>131</v>
      </c>
      <c r="J116" s="46" t="s">
        <v>399</v>
      </c>
      <c r="K116" s="46" t="s">
        <v>400</v>
      </c>
      <c r="L116" s="46" t="s">
        <v>401</v>
      </c>
      <c r="M116" s="46" t="s">
        <v>303</v>
      </c>
      <c r="N116" s="46" t="s">
        <v>304</v>
      </c>
      <c r="O116" s="46" t="s">
        <v>375</v>
      </c>
      <c r="P116" s="46" t="s">
        <v>306</v>
      </c>
      <c r="Q116" s="46" t="s">
        <v>379</v>
      </c>
      <c r="R116" s="54" t="s">
        <v>307</v>
      </c>
      <c r="S116" s="46">
        <v>750</v>
      </c>
      <c r="T116" s="46">
        <v>400</v>
      </c>
      <c r="U116" s="46">
        <v>800</v>
      </c>
      <c r="V116" s="46">
        <v>45</v>
      </c>
      <c r="W116" s="46">
        <v>0</v>
      </c>
      <c r="X116" s="46">
        <v>40600</v>
      </c>
      <c r="Y116" s="46" t="s">
        <v>267</v>
      </c>
      <c r="Z116" s="46" t="s">
        <v>309</v>
      </c>
      <c r="AA116" s="46" t="s">
        <v>309</v>
      </c>
      <c r="AB116" s="46">
        <v>2.5</v>
      </c>
    </row>
    <row r="117" spans="1:28" ht="16.5" customHeight="1">
      <c r="A117" s="46">
        <v>40607</v>
      </c>
      <c r="B117" s="46">
        <v>40600</v>
      </c>
      <c r="C117" s="46" t="s">
        <v>373</v>
      </c>
      <c r="D117" s="46">
        <v>1</v>
      </c>
      <c r="E117" s="46">
        <v>0</v>
      </c>
      <c r="F117" s="46">
        <v>20</v>
      </c>
      <c r="G117" s="46">
        <v>2</v>
      </c>
      <c r="H117" s="46">
        <v>2</v>
      </c>
      <c r="I117" s="46">
        <v>137</v>
      </c>
      <c r="J117" s="46" t="s">
        <v>399</v>
      </c>
      <c r="K117" s="46" t="s">
        <v>402</v>
      </c>
      <c r="L117" s="46" t="s">
        <v>401</v>
      </c>
      <c r="M117" s="46" t="s">
        <v>303</v>
      </c>
      <c r="N117" s="46" t="s">
        <v>304</v>
      </c>
      <c r="O117" s="46" t="s">
        <v>375</v>
      </c>
      <c r="P117" s="46" t="s">
        <v>306</v>
      </c>
      <c r="Q117" s="46" t="s">
        <v>379</v>
      </c>
      <c r="R117" s="54" t="s">
        <v>307</v>
      </c>
      <c r="S117" s="46">
        <v>800</v>
      </c>
      <c r="T117" s="46">
        <v>430</v>
      </c>
      <c r="U117" s="46">
        <v>850</v>
      </c>
      <c r="V117" s="46">
        <v>50</v>
      </c>
      <c r="W117" s="46">
        <v>0</v>
      </c>
      <c r="X117" s="46">
        <v>40600</v>
      </c>
      <c r="Y117" s="46" t="s">
        <v>267</v>
      </c>
      <c r="Z117" s="46" t="s">
        <v>309</v>
      </c>
      <c r="AA117" s="46" t="s">
        <v>309</v>
      </c>
      <c r="AB117" s="46">
        <v>2.5</v>
      </c>
    </row>
    <row r="118" spans="1:28" ht="16.5" customHeight="1">
      <c r="A118" s="46">
        <v>40608</v>
      </c>
      <c r="B118" s="46">
        <v>40600</v>
      </c>
      <c r="C118" s="46" t="s">
        <v>373</v>
      </c>
      <c r="D118" s="46">
        <v>1</v>
      </c>
      <c r="E118" s="46">
        <v>1</v>
      </c>
      <c r="F118" s="46">
        <v>20</v>
      </c>
      <c r="G118" s="46">
        <v>2</v>
      </c>
      <c r="H118" s="46">
        <v>2</v>
      </c>
      <c r="I118" s="46">
        <v>143</v>
      </c>
      <c r="J118" s="46" t="s">
        <v>399</v>
      </c>
      <c r="K118" s="46" t="s">
        <v>402</v>
      </c>
      <c r="L118" s="46" t="s">
        <v>401</v>
      </c>
      <c r="M118" s="46" t="s">
        <v>303</v>
      </c>
      <c r="N118" s="46" t="s">
        <v>304</v>
      </c>
      <c r="O118" s="46" t="s">
        <v>375</v>
      </c>
      <c r="P118" s="46" t="s">
        <v>306</v>
      </c>
      <c r="Q118" s="46" t="s">
        <v>379</v>
      </c>
      <c r="R118" s="54" t="s">
        <v>307</v>
      </c>
      <c r="S118" s="46">
        <v>850</v>
      </c>
      <c r="T118" s="46">
        <v>430</v>
      </c>
      <c r="U118" s="46">
        <v>850</v>
      </c>
      <c r="V118" s="46">
        <v>50</v>
      </c>
      <c r="W118" s="46">
        <v>0</v>
      </c>
      <c r="X118" s="46">
        <v>40600</v>
      </c>
      <c r="Y118" s="46" t="s">
        <v>267</v>
      </c>
      <c r="Z118" s="46" t="s">
        <v>309</v>
      </c>
      <c r="AA118" s="46" t="s">
        <v>309</v>
      </c>
      <c r="AB118" s="46">
        <v>2.5</v>
      </c>
    </row>
    <row r="119" spans="1:28" ht="16.5" customHeight="1">
      <c r="A119" s="46">
        <v>40609</v>
      </c>
      <c r="B119" s="46">
        <v>40600</v>
      </c>
      <c r="C119" s="46" t="s">
        <v>373</v>
      </c>
      <c r="D119" s="46">
        <v>1</v>
      </c>
      <c r="E119" s="46">
        <v>2</v>
      </c>
      <c r="F119" s="46">
        <v>20</v>
      </c>
      <c r="G119" s="46">
        <v>2</v>
      </c>
      <c r="H119" s="46">
        <v>2</v>
      </c>
      <c r="I119" s="46">
        <v>149</v>
      </c>
      <c r="J119" s="46" t="s">
        <v>399</v>
      </c>
      <c r="K119" s="46" t="s">
        <v>402</v>
      </c>
      <c r="L119" s="46" t="s">
        <v>401</v>
      </c>
      <c r="M119" s="46" t="s">
        <v>303</v>
      </c>
      <c r="N119" s="46" t="s">
        <v>304</v>
      </c>
      <c r="O119" s="46" t="s">
        <v>375</v>
      </c>
      <c r="P119" s="46" t="s">
        <v>306</v>
      </c>
      <c r="Q119" s="46" t="s">
        <v>379</v>
      </c>
      <c r="R119" s="54" t="s">
        <v>307</v>
      </c>
      <c r="S119" s="46">
        <v>900</v>
      </c>
      <c r="T119" s="46">
        <v>430</v>
      </c>
      <c r="U119" s="46">
        <v>850</v>
      </c>
      <c r="V119" s="46">
        <v>50</v>
      </c>
      <c r="W119" s="46">
        <v>0</v>
      </c>
      <c r="X119" s="46">
        <v>40600</v>
      </c>
      <c r="Y119" s="46" t="s">
        <v>267</v>
      </c>
      <c r="Z119" s="46" t="s">
        <v>309</v>
      </c>
      <c r="AA119" s="46" t="s">
        <v>309</v>
      </c>
      <c r="AB119" s="46">
        <v>2.5</v>
      </c>
    </row>
    <row r="120" spans="1:28" ht="16.5" customHeight="1">
      <c r="A120" s="46">
        <v>40610</v>
      </c>
      <c r="B120" s="46">
        <v>40600</v>
      </c>
      <c r="C120" s="46" t="s">
        <v>373</v>
      </c>
      <c r="D120" s="46">
        <v>1</v>
      </c>
      <c r="E120" s="46">
        <v>3</v>
      </c>
      <c r="F120" s="46">
        <v>20</v>
      </c>
      <c r="G120" s="46">
        <v>2</v>
      </c>
      <c r="H120" s="46">
        <v>2</v>
      </c>
      <c r="I120" s="46">
        <v>156</v>
      </c>
      <c r="J120" s="46" t="s">
        <v>399</v>
      </c>
      <c r="K120" s="46" t="s">
        <v>402</v>
      </c>
      <c r="L120" s="46" t="s">
        <v>401</v>
      </c>
      <c r="M120" s="46" t="s">
        <v>303</v>
      </c>
      <c r="N120" s="46" t="s">
        <v>304</v>
      </c>
      <c r="O120" s="46" t="s">
        <v>375</v>
      </c>
      <c r="P120" s="46" t="s">
        <v>306</v>
      </c>
      <c r="Q120" s="46" t="s">
        <v>379</v>
      </c>
      <c r="R120" s="54" t="s">
        <v>307</v>
      </c>
      <c r="S120" s="46">
        <v>950</v>
      </c>
      <c r="T120" s="46">
        <v>430</v>
      </c>
      <c r="U120" s="46">
        <v>850</v>
      </c>
      <c r="V120" s="46">
        <v>50</v>
      </c>
      <c r="W120" s="46">
        <v>0</v>
      </c>
      <c r="X120" s="46">
        <v>40600</v>
      </c>
      <c r="Y120" s="46" t="s">
        <v>267</v>
      </c>
      <c r="Z120" s="46" t="s">
        <v>309</v>
      </c>
      <c r="AA120" s="46" t="s">
        <v>309</v>
      </c>
      <c r="AB120" s="46">
        <v>2.5</v>
      </c>
    </row>
    <row r="121" spans="1:28" ht="16.5" customHeight="1">
      <c r="A121" s="46">
        <v>40611</v>
      </c>
      <c r="B121" s="46">
        <v>40600</v>
      </c>
      <c r="C121" s="46" t="s">
        <v>373</v>
      </c>
      <c r="D121" s="46">
        <v>1</v>
      </c>
      <c r="E121" s="46">
        <v>4</v>
      </c>
      <c r="F121" s="46">
        <v>20</v>
      </c>
      <c r="G121" s="46">
        <v>2</v>
      </c>
      <c r="H121" s="46">
        <v>2</v>
      </c>
      <c r="I121" s="46">
        <v>162</v>
      </c>
      <c r="J121" s="46" t="s">
        <v>399</v>
      </c>
      <c r="K121" s="46" t="s">
        <v>402</v>
      </c>
      <c r="L121" s="46" t="s">
        <v>401</v>
      </c>
      <c r="M121" s="46" t="s">
        <v>303</v>
      </c>
      <c r="N121" s="46" t="s">
        <v>304</v>
      </c>
      <c r="O121" s="46" t="s">
        <v>375</v>
      </c>
      <c r="P121" s="46" t="s">
        <v>306</v>
      </c>
      <c r="Q121" s="46" t="s">
        <v>379</v>
      </c>
      <c r="R121" s="54" t="s">
        <v>307</v>
      </c>
      <c r="S121" s="46">
        <v>1000</v>
      </c>
      <c r="T121" s="46">
        <v>430</v>
      </c>
      <c r="U121" s="46">
        <v>850</v>
      </c>
      <c r="V121" s="46">
        <v>50</v>
      </c>
      <c r="W121" s="46">
        <v>0</v>
      </c>
      <c r="X121" s="46">
        <v>40600</v>
      </c>
      <c r="Y121" s="46" t="s">
        <v>267</v>
      </c>
      <c r="Z121" s="46" t="s">
        <v>309</v>
      </c>
      <c r="AA121" s="46" t="s">
        <v>309</v>
      </c>
      <c r="AB121" s="46">
        <v>2.5</v>
      </c>
    </row>
    <row r="122" spans="1:28" ht="16.5" customHeight="1">
      <c r="A122" s="46">
        <v>40612</v>
      </c>
      <c r="B122" s="46">
        <v>40600</v>
      </c>
      <c r="C122" s="46" t="s">
        <v>373</v>
      </c>
      <c r="D122" s="46">
        <v>1</v>
      </c>
      <c r="E122" s="46">
        <v>5</v>
      </c>
      <c r="F122" s="46">
        <v>30</v>
      </c>
      <c r="G122" s="46">
        <v>2</v>
      </c>
      <c r="H122" s="46">
        <v>3</v>
      </c>
      <c r="I122" s="46">
        <v>168</v>
      </c>
      <c r="J122" s="46" t="s">
        <v>399</v>
      </c>
      <c r="K122" s="46" t="s">
        <v>402</v>
      </c>
      <c r="L122" s="46" t="s">
        <v>401</v>
      </c>
      <c r="M122" s="46" t="s">
        <v>303</v>
      </c>
      <c r="N122" s="46" t="s">
        <v>304</v>
      </c>
      <c r="O122" s="46" t="s">
        <v>375</v>
      </c>
      <c r="P122" s="46" t="s">
        <v>306</v>
      </c>
      <c r="Q122" s="46" t="s">
        <v>379</v>
      </c>
      <c r="R122" s="54" t="s">
        <v>307</v>
      </c>
      <c r="S122" s="46">
        <v>1050</v>
      </c>
      <c r="T122" s="46">
        <v>430</v>
      </c>
      <c r="U122" s="46">
        <v>850</v>
      </c>
      <c r="V122" s="46">
        <v>50</v>
      </c>
      <c r="W122" s="46">
        <v>0</v>
      </c>
      <c r="X122" s="46">
        <v>40600</v>
      </c>
      <c r="Y122" s="46" t="s">
        <v>267</v>
      </c>
      <c r="Z122" s="46" t="s">
        <v>309</v>
      </c>
      <c r="AA122" s="46" t="s">
        <v>309</v>
      </c>
      <c r="AB122" s="46">
        <v>2.5</v>
      </c>
    </row>
    <row r="123" spans="1:28" ht="16.5" customHeight="1">
      <c r="A123" s="46">
        <v>40613</v>
      </c>
      <c r="B123" s="46">
        <v>40600</v>
      </c>
      <c r="C123" s="46" t="s">
        <v>373</v>
      </c>
      <c r="D123" s="46">
        <v>2</v>
      </c>
      <c r="E123" s="46">
        <v>0</v>
      </c>
      <c r="F123" s="46">
        <v>30</v>
      </c>
      <c r="G123" s="46">
        <v>4</v>
      </c>
      <c r="H123" s="46">
        <v>3</v>
      </c>
      <c r="I123" s="46">
        <v>180</v>
      </c>
      <c r="J123" s="46" t="s">
        <v>399</v>
      </c>
      <c r="K123" s="46" t="s">
        <v>403</v>
      </c>
      <c r="L123" s="46" t="s">
        <v>401</v>
      </c>
      <c r="M123" s="46" t="s">
        <v>303</v>
      </c>
      <c r="N123" s="46" t="s">
        <v>304</v>
      </c>
      <c r="O123" s="46" t="s">
        <v>375</v>
      </c>
      <c r="P123" s="46" t="s">
        <v>306</v>
      </c>
      <c r="Q123" s="46" t="s">
        <v>379</v>
      </c>
      <c r="R123" s="54" t="s">
        <v>307</v>
      </c>
      <c r="S123" s="46">
        <v>1100</v>
      </c>
      <c r="T123" s="46">
        <v>450</v>
      </c>
      <c r="U123" s="46">
        <v>900</v>
      </c>
      <c r="V123" s="46">
        <v>55</v>
      </c>
      <c r="W123" s="46">
        <v>0</v>
      </c>
      <c r="X123" s="46">
        <v>40600</v>
      </c>
      <c r="Y123" s="46" t="s">
        <v>267</v>
      </c>
      <c r="Z123" s="46" t="s">
        <v>309</v>
      </c>
      <c r="AA123" s="46" t="s">
        <v>309</v>
      </c>
      <c r="AB123" s="46">
        <v>2.5</v>
      </c>
    </row>
    <row r="124" spans="1:28" ht="16.5" customHeight="1">
      <c r="A124" s="46">
        <v>40614</v>
      </c>
      <c r="B124" s="46">
        <v>40600</v>
      </c>
      <c r="C124" s="46" t="s">
        <v>373</v>
      </c>
      <c r="D124" s="46">
        <v>2</v>
      </c>
      <c r="E124" s="46">
        <v>1</v>
      </c>
      <c r="F124" s="46">
        <v>30</v>
      </c>
      <c r="G124" s="46">
        <v>4</v>
      </c>
      <c r="H124" s="46">
        <v>3</v>
      </c>
      <c r="I124" s="46">
        <v>192</v>
      </c>
      <c r="J124" s="46" t="s">
        <v>399</v>
      </c>
      <c r="K124" s="46" t="s">
        <v>403</v>
      </c>
      <c r="L124" s="46" t="s">
        <v>401</v>
      </c>
      <c r="M124" s="46" t="s">
        <v>303</v>
      </c>
      <c r="N124" s="46" t="s">
        <v>304</v>
      </c>
      <c r="O124" s="46" t="s">
        <v>375</v>
      </c>
      <c r="P124" s="46" t="s">
        <v>306</v>
      </c>
      <c r="Q124" s="46" t="s">
        <v>379</v>
      </c>
      <c r="R124" s="54" t="s">
        <v>307</v>
      </c>
      <c r="S124" s="46">
        <v>1150</v>
      </c>
      <c r="T124" s="46">
        <v>450</v>
      </c>
      <c r="U124" s="46">
        <v>900</v>
      </c>
      <c r="V124" s="46">
        <v>55</v>
      </c>
      <c r="W124" s="46">
        <v>0</v>
      </c>
      <c r="X124" s="46">
        <v>40600</v>
      </c>
      <c r="Y124" s="46" t="s">
        <v>267</v>
      </c>
      <c r="Z124" s="46" t="s">
        <v>309</v>
      </c>
      <c r="AA124" s="46" t="s">
        <v>309</v>
      </c>
      <c r="AB124" s="46">
        <v>2.5</v>
      </c>
    </row>
    <row r="125" spans="1:28" ht="16.5" customHeight="1">
      <c r="A125" s="46">
        <v>40615</v>
      </c>
      <c r="B125" s="46">
        <v>40600</v>
      </c>
      <c r="C125" s="46" t="s">
        <v>373</v>
      </c>
      <c r="D125" s="46">
        <v>2</v>
      </c>
      <c r="E125" s="46">
        <v>2</v>
      </c>
      <c r="F125" s="46">
        <v>30</v>
      </c>
      <c r="G125" s="46">
        <v>4</v>
      </c>
      <c r="H125" s="46">
        <v>3</v>
      </c>
      <c r="I125" s="46">
        <v>203</v>
      </c>
      <c r="J125" s="46" t="s">
        <v>399</v>
      </c>
      <c r="K125" s="46" t="s">
        <v>403</v>
      </c>
      <c r="L125" s="46" t="s">
        <v>401</v>
      </c>
      <c r="M125" s="46" t="s">
        <v>303</v>
      </c>
      <c r="N125" s="46" t="s">
        <v>304</v>
      </c>
      <c r="O125" s="46" t="s">
        <v>375</v>
      </c>
      <c r="P125" s="46" t="s">
        <v>306</v>
      </c>
      <c r="Q125" s="46" t="s">
        <v>379</v>
      </c>
      <c r="R125" s="54" t="s">
        <v>307</v>
      </c>
      <c r="S125" s="46">
        <v>1200</v>
      </c>
      <c r="T125" s="46">
        <v>450</v>
      </c>
      <c r="U125" s="46">
        <v>900</v>
      </c>
      <c r="V125" s="46">
        <v>55</v>
      </c>
      <c r="W125" s="46">
        <v>0</v>
      </c>
      <c r="X125" s="46">
        <v>40600</v>
      </c>
      <c r="Y125" s="46" t="s">
        <v>267</v>
      </c>
      <c r="Z125" s="46" t="s">
        <v>309</v>
      </c>
      <c r="AA125" s="46" t="s">
        <v>309</v>
      </c>
      <c r="AB125" s="46">
        <v>2.5</v>
      </c>
    </row>
    <row r="126" spans="1:28" ht="16.5" customHeight="1">
      <c r="A126" s="46">
        <v>40616</v>
      </c>
      <c r="B126" s="46">
        <v>40600</v>
      </c>
      <c r="C126" s="46" t="s">
        <v>373</v>
      </c>
      <c r="D126" s="46">
        <v>2</v>
      </c>
      <c r="E126" s="46">
        <v>3</v>
      </c>
      <c r="F126" s="46">
        <v>30</v>
      </c>
      <c r="G126" s="46">
        <v>4</v>
      </c>
      <c r="H126" s="46">
        <v>3</v>
      </c>
      <c r="I126" s="46">
        <v>215</v>
      </c>
      <c r="J126" s="46" t="s">
        <v>399</v>
      </c>
      <c r="K126" s="46" t="s">
        <v>403</v>
      </c>
      <c r="L126" s="46" t="s">
        <v>401</v>
      </c>
      <c r="M126" s="46" t="s">
        <v>303</v>
      </c>
      <c r="N126" s="46" t="s">
        <v>304</v>
      </c>
      <c r="O126" s="46" t="s">
        <v>375</v>
      </c>
      <c r="P126" s="46" t="s">
        <v>306</v>
      </c>
      <c r="Q126" s="46" t="s">
        <v>379</v>
      </c>
      <c r="R126" s="54" t="s">
        <v>307</v>
      </c>
      <c r="S126" s="46">
        <v>1250</v>
      </c>
      <c r="T126" s="46">
        <v>450</v>
      </c>
      <c r="U126" s="46">
        <v>900</v>
      </c>
      <c r="V126" s="46">
        <v>55</v>
      </c>
      <c r="W126" s="46">
        <v>0</v>
      </c>
      <c r="X126" s="46">
        <v>40600</v>
      </c>
      <c r="Y126" s="46" t="s">
        <v>267</v>
      </c>
      <c r="Z126" s="46" t="s">
        <v>309</v>
      </c>
      <c r="AA126" s="46" t="s">
        <v>309</v>
      </c>
      <c r="AB126" s="46">
        <v>2.5</v>
      </c>
    </row>
    <row r="127" spans="1:28" ht="16.5" customHeight="1">
      <c r="A127" s="46">
        <v>40617</v>
      </c>
      <c r="B127" s="46">
        <v>40600</v>
      </c>
      <c r="C127" s="46" t="s">
        <v>373</v>
      </c>
      <c r="D127" s="46">
        <v>2</v>
      </c>
      <c r="E127" s="46">
        <v>4</v>
      </c>
      <c r="F127" s="46">
        <v>30</v>
      </c>
      <c r="G127" s="46">
        <v>4</v>
      </c>
      <c r="H127" s="46">
        <v>3</v>
      </c>
      <c r="I127" s="46">
        <v>227</v>
      </c>
      <c r="J127" s="46" t="s">
        <v>399</v>
      </c>
      <c r="K127" s="46" t="s">
        <v>403</v>
      </c>
      <c r="L127" s="46" t="s">
        <v>401</v>
      </c>
      <c r="M127" s="46" t="s">
        <v>303</v>
      </c>
      <c r="N127" s="46" t="s">
        <v>304</v>
      </c>
      <c r="O127" s="46" t="s">
        <v>375</v>
      </c>
      <c r="P127" s="46" t="s">
        <v>306</v>
      </c>
      <c r="Q127" s="46" t="s">
        <v>379</v>
      </c>
      <c r="R127" s="54" t="s">
        <v>307</v>
      </c>
      <c r="S127" s="46">
        <v>1300</v>
      </c>
      <c r="T127" s="46">
        <v>450</v>
      </c>
      <c r="U127" s="46">
        <v>900</v>
      </c>
      <c r="V127" s="46">
        <v>55</v>
      </c>
      <c r="W127" s="46">
        <v>0</v>
      </c>
      <c r="X127" s="46">
        <v>40600</v>
      </c>
      <c r="Y127" s="46" t="s">
        <v>267</v>
      </c>
      <c r="Z127" s="46" t="s">
        <v>309</v>
      </c>
      <c r="AA127" s="46" t="s">
        <v>309</v>
      </c>
      <c r="AB127" s="46">
        <v>2.5</v>
      </c>
    </row>
    <row r="128" spans="1:28" ht="16.5" customHeight="1">
      <c r="A128" s="46">
        <v>40618</v>
      </c>
      <c r="B128" s="46">
        <v>40600</v>
      </c>
      <c r="C128" s="46" t="s">
        <v>373</v>
      </c>
      <c r="D128" s="46">
        <v>2</v>
      </c>
      <c r="E128" s="46">
        <v>5</v>
      </c>
      <c r="F128" s="46">
        <v>50</v>
      </c>
      <c r="G128" s="46">
        <v>4</v>
      </c>
      <c r="H128" s="46">
        <v>4</v>
      </c>
      <c r="I128" s="46">
        <v>239</v>
      </c>
      <c r="J128" s="46" t="s">
        <v>399</v>
      </c>
      <c r="K128" s="46" t="s">
        <v>403</v>
      </c>
      <c r="L128" s="46" t="s">
        <v>401</v>
      </c>
      <c r="M128" s="46" t="s">
        <v>303</v>
      </c>
      <c r="N128" s="46" t="s">
        <v>304</v>
      </c>
      <c r="O128" s="46" t="s">
        <v>375</v>
      </c>
      <c r="P128" s="46" t="s">
        <v>306</v>
      </c>
      <c r="Q128" s="46" t="s">
        <v>379</v>
      </c>
      <c r="R128" s="54" t="s">
        <v>307</v>
      </c>
      <c r="S128" s="46">
        <v>1350</v>
      </c>
      <c r="T128" s="46">
        <v>450</v>
      </c>
      <c r="U128" s="46">
        <v>900</v>
      </c>
      <c r="V128" s="46">
        <v>55</v>
      </c>
      <c r="W128" s="46">
        <v>0</v>
      </c>
      <c r="X128" s="46">
        <v>40600</v>
      </c>
      <c r="Y128" s="46" t="s">
        <v>267</v>
      </c>
      <c r="Z128" s="46" t="s">
        <v>309</v>
      </c>
      <c r="AA128" s="46" t="s">
        <v>309</v>
      </c>
      <c r="AB128" s="46">
        <v>2.5</v>
      </c>
    </row>
    <row r="129" spans="1:28" ht="16.5" customHeight="1">
      <c r="A129" s="46">
        <v>40619</v>
      </c>
      <c r="B129" s="46">
        <v>40600</v>
      </c>
      <c r="C129" s="46" t="s">
        <v>373</v>
      </c>
      <c r="D129" s="46">
        <v>3</v>
      </c>
      <c r="E129" s="46">
        <v>0</v>
      </c>
      <c r="F129" s="46">
        <v>50</v>
      </c>
      <c r="G129" s="46">
        <v>8</v>
      </c>
      <c r="H129" s="46">
        <v>4</v>
      </c>
      <c r="I129" s="46">
        <v>255</v>
      </c>
      <c r="J129" s="46" t="s">
        <v>399</v>
      </c>
      <c r="K129" s="46" t="s">
        <v>404</v>
      </c>
      <c r="L129" s="46" t="s">
        <v>401</v>
      </c>
      <c r="M129" s="46" t="s">
        <v>303</v>
      </c>
      <c r="N129" s="46" t="s">
        <v>304</v>
      </c>
      <c r="O129" s="46" t="s">
        <v>375</v>
      </c>
      <c r="P129" s="46" t="s">
        <v>306</v>
      </c>
      <c r="Q129" s="46" t="s">
        <v>379</v>
      </c>
      <c r="R129" s="54" t="s">
        <v>307</v>
      </c>
      <c r="S129" s="46">
        <v>1400</v>
      </c>
      <c r="T129" s="46">
        <v>480</v>
      </c>
      <c r="U129" s="46">
        <v>950</v>
      </c>
      <c r="V129" s="46">
        <v>60</v>
      </c>
      <c r="W129" s="46">
        <v>0</v>
      </c>
      <c r="X129" s="46">
        <v>40600</v>
      </c>
      <c r="Y129" s="46" t="s">
        <v>267</v>
      </c>
      <c r="Z129" s="46" t="s">
        <v>309</v>
      </c>
      <c r="AA129" s="46" t="s">
        <v>309</v>
      </c>
      <c r="AB129" s="46">
        <v>2.5</v>
      </c>
    </row>
    <row r="130" spans="1:28" ht="16.5" customHeight="1">
      <c r="A130" s="46">
        <v>40620</v>
      </c>
      <c r="B130" s="46">
        <v>40600</v>
      </c>
      <c r="C130" s="46" t="s">
        <v>373</v>
      </c>
      <c r="D130" s="46">
        <v>3</v>
      </c>
      <c r="E130" s="46">
        <v>1</v>
      </c>
      <c r="F130" s="46">
        <v>50</v>
      </c>
      <c r="G130" s="46">
        <v>8</v>
      </c>
      <c r="H130" s="46">
        <v>4</v>
      </c>
      <c r="I130" s="46">
        <v>271</v>
      </c>
      <c r="J130" s="46" t="s">
        <v>399</v>
      </c>
      <c r="K130" s="46" t="s">
        <v>404</v>
      </c>
      <c r="L130" s="46" t="s">
        <v>401</v>
      </c>
      <c r="M130" s="46" t="s">
        <v>303</v>
      </c>
      <c r="N130" s="46" t="s">
        <v>304</v>
      </c>
      <c r="O130" s="46" t="s">
        <v>375</v>
      </c>
      <c r="P130" s="46" t="s">
        <v>306</v>
      </c>
      <c r="Q130" s="46" t="s">
        <v>379</v>
      </c>
      <c r="R130" s="54" t="s">
        <v>307</v>
      </c>
      <c r="S130" s="46">
        <v>1450</v>
      </c>
      <c r="T130" s="46">
        <v>480</v>
      </c>
      <c r="U130" s="46">
        <v>950</v>
      </c>
      <c r="V130" s="46">
        <v>60</v>
      </c>
      <c r="W130" s="46">
        <v>0</v>
      </c>
      <c r="X130" s="46">
        <v>40600</v>
      </c>
      <c r="Y130" s="46" t="s">
        <v>267</v>
      </c>
      <c r="Z130" s="46" t="s">
        <v>309</v>
      </c>
      <c r="AA130" s="46" t="s">
        <v>309</v>
      </c>
      <c r="AB130" s="46">
        <v>2.5</v>
      </c>
    </row>
    <row r="131" spans="1:28" ht="16.5" customHeight="1">
      <c r="A131" s="46">
        <v>40621</v>
      </c>
      <c r="B131" s="46">
        <v>40600</v>
      </c>
      <c r="C131" s="46" t="s">
        <v>373</v>
      </c>
      <c r="D131" s="46">
        <v>3</v>
      </c>
      <c r="E131" s="46">
        <v>2</v>
      </c>
      <c r="F131" s="46">
        <v>50</v>
      </c>
      <c r="G131" s="46">
        <v>8</v>
      </c>
      <c r="H131" s="46">
        <v>4</v>
      </c>
      <c r="I131" s="46">
        <v>287</v>
      </c>
      <c r="J131" s="46" t="s">
        <v>399</v>
      </c>
      <c r="K131" s="46" t="s">
        <v>404</v>
      </c>
      <c r="L131" s="46" t="s">
        <v>401</v>
      </c>
      <c r="M131" s="46" t="s">
        <v>303</v>
      </c>
      <c r="N131" s="46" t="s">
        <v>304</v>
      </c>
      <c r="O131" s="46" t="s">
        <v>375</v>
      </c>
      <c r="P131" s="46" t="s">
        <v>306</v>
      </c>
      <c r="Q131" s="46" t="s">
        <v>379</v>
      </c>
      <c r="R131" s="54" t="s">
        <v>307</v>
      </c>
      <c r="S131" s="46">
        <v>1500</v>
      </c>
      <c r="T131" s="46">
        <v>480</v>
      </c>
      <c r="U131" s="46">
        <v>950</v>
      </c>
      <c r="V131" s="46">
        <v>60</v>
      </c>
      <c r="W131" s="46">
        <v>0</v>
      </c>
      <c r="X131" s="46">
        <v>40600</v>
      </c>
      <c r="Y131" s="46" t="s">
        <v>267</v>
      </c>
      <c r="Z131" s="46" t="s">
        <v>309</v>
      </c>
      <c r="AA131" s="46" t="s">
        <v>309</v>
      </c>
      <c r="AB131" s="46">
        <v>2.5</v>
      </c>
    </row>
    <row r="132" spans="1:28" ht="16.5" customHeight="1">
      <c r="A132" s="46">
        <v>40622</v>
      </c>
      <c r="B132" s="46">
        <v>40600</v>
      </c>
      <c r="C132" s="46" t="s">
        <v>373</v>
      </c>
      <c r="D132" s="46">
        <v>3</v>
      </c>
      <c r="E132" s="46">
        <v>3</v>
      </c>
      <c r="F132" s="46">
        <v>50</v>
      </c>
      <c r="G132" s="46">
        <v>8</v>
      </c>
      <c r="H132" s="46">
        <v>4</v>
      </c>
      <c r="I132" s="46">
        <v>303</v>
      </c>
      <c r="J132" s="46" t="s">
        <v>399</v>
      </c>
      <c r="K132" s="46" t="s">
        <v>404</v>
      </c>
      <c r="L132" s="46" t="s">
        <v>401</v>
      </c>
      <c r="M132" s="46" t="s">
        <v>303</v>
      </c>
      <c r="N132" s="46" t="s">
        <v>304</v>
      </c>
      <c r="O132" s="46" t="s">
        <v>375</v>
      </c>
      <c r="P132" s="46" t="s">
        <v>306</v>
      </c>
      <c r="Q132" s="46" t="s">
        <v>379</v>
      </c>
      <c r="R132" s="54" t="s">
        <v>307</v>
      </c>
      <c r="S132" s="46">
        <v>1550</v>
      </c>
      <c r="T132" s="46">
        <v>480</v>
      </c>
      <c r="U132" s="46">
        <v>950</v>
      </c>
      <c r="V132" s="46">
        <v>60</v>
      </c>
      <c r="W132" s="46">
        <v>0</v>
      </c>
      <c r="X132" s="46">
        <v>40600</v>
      </c>
      <c r="Y132" s="46" t="s">
        <v>267</v>
      </c>
      <c r="Z132" s="46" t="s">
        <v>309</v>
      </c>
      <c r="AA132" s="46" t="s">
        <v>309</v>
      </c>
      <c r="AB132" s="46">
        <v>2.5</v>
      </c>
    </row>
    <row r="133" spans="1:28" ht="16.5" customHeight="1">
      <c r="A133" s="46">
        <v>40623</v>
      </c>
      <c r="B133" s="46">
        <v>40600</v>
      </c>
      <c r="C133" s="46" t="s">
        <v>373</v>
      </c>
      <c r="D133" s="46">
        <v>3</v>
      </c>
      <c r="E133" s="46">
        <v>4</v>
      </c>
      <c r="F133" s="46">
        <v>50</v>
      </c>
      <c r="G133" s="46">
        <v>8</v>
      </c>
      <c r="H133" s="46">
        <v>4</v>
      </c>
      <c r="I133" s="46">
        <v>320</v>
      </c>
      <c r="J133" s="46" t="s">
        <v>399</v>
      </c>
      <c r="K133" s="46" t="s">
        <v>404</v>
      </c>
      <c r="L133" s="46" t="s">
        <v>401</v>
      </c>
      <c r="M133" s="46" t="s">
        <v>303</v>
      </c>
      <c r="N133" s="46" t="s">
        <v>304</v>
      </c>
      <c r="O133" s="46" t="s">
        <v>375</v>
      </c>
      <c r="P133" s="46" t="s">
        <v>306</v>
      </c>
      <c r="Q133" s="46" t="s">
        <v>379</v>
      </c>
      <c r="R133" s="54" t="s">
        <v>307</v>
      </c>
      <c r="S133" s="46">
        <v>1600</v>
      </c>
      <c r="T133" s="46">
        <v>480</v>
      </c>
      <c r="U133" s="46">
        <v>950</v>
      </c>
      <c r="V133" s="46">
        <v>60</v>
      </c>
      <c r="W133" s="46">
        <v>0</v>
      </c>
      <c r="X133" s="46">
        <v>40600</v>
      </c>
      <c r="Y133" s="46" t="s">
        <v>267</v>
      </c>
      <c r="Z133" s="46" t="s">
        <v>309</v>
      </c>
      <c r="AA133" s="46" t="s">
        <v>309</v>
      </c>
      <c r="AB133" s="46">
        <v>2.5</v>
      </c>
    </row>
    <row r="134" spans="1:28" ht="16.5" customHeight="1">
      <c r="A134" s="46">
        <v>40624</v>
      </c>
      <c r="B134" s="46">
        <v>40600</v>
      </c>
      <c r="C134" s="46" t="s">
        <v>373</v>
      </c>
      <c r="D134" s="46">
        <v>3</v>
      </c>
      <c r="E134" s="46">
        <v>5</v>
      </c>
      <c r="F134" s="46">
        <v>120</v>
      </c>
      <c r="G134" s="46">
        <v>8</v>
      </c>
      <c r="H134" s="46">
        <v>5</v>
      </c>
      <c r="I134" s="46">
        <v>336</v>
      </c>
      <c r="J134" s="46" t="s">
        <v>399</v>
      </c>
      <c r="K134" s="46" t="s">
        <v>404</v>
      </c>
      <c r="L134" s="46" t="s">
        <v>401</v>
      </c>
      <c r="M134" s="46" t="s">
        <v>303</v>
      </c>
      <c r="N134" s="46" t="s">
        <v>304</v>
      </c>
      <c r="O134" s="46" t="s">
        <v>375</v>
      </c>
      <c r="P134" s="46" t="s">
        <v>306</v>
      </c>
      <c r="Q134" s="46" t="s">
        <v>379</v>
      </c>
      <c r="R134" s="54" t="s">
        <v>307</v>
      </c>
      <c r="S134" s="46">
        <v>1650</v>
      </c>
      <c r="T134" s="46">
        <v>480</v>
      </c>
      <c r="U134" s="46">
        <v>950</v>
      </c>
      <c r="V134" s="46">
        <v>60</v>
      </c>
      <c r="W134" s="46">
        <v>0</v>
      </c>
      <c r="X134" s="46">
        <v>40600</v>
      </c>
      <c r="Y134" s="46" t="s">
        <v>267</v>
      </c>
      <c r="Z134" s="46" t="s">
        <v>309</v>
      </c>
      <c r="AA134" s="46" t="s">
        <v>309</v>
      </c>
      <c r="AB134" s="46">
        <v>2.5</v>
      </c>
    </row>
    <row r="135" spans="1:28" ht="16.5" customHeight="1">
      <c r="A135" s="46">
        <v>40625</v>
      </c>
      <c r="B135" s="46">
        <v>40600</v>
      </c>
      <c r="C135" s="46" t="s">
        <v>373</v>
      </c>
      <c r="D135" s="46">
        <v>4</v>
      </c>
      <c r="E135" s="46">
        <v>0</v>
      </c>
      <c r="F135" s="46">
        <v>200</v>
      </c>
      <c r="G135" s="46">
        <v>24</v>
      </c>
      <c r="H135" s="46">
        <v>5</v>
      </c>
      <c r="I135" s="46">
        <v>356</v>
      </c>
      <c r="J135" s="46" t="s">
        <v>399</v>
      </c>
      <c r="K135" s="46" t="s">
        <v>405</v>
      </c>
      <c r="L135" s="46" t="s">
        <v>401</v>
      </c>
      <c r="M135" s="46" t="s">
        <v>303</v>
      </c>
      <c r="N135" s="46" t="s">
        <v>304</v>
      </c>
      <c r="O135" s="46" t="s">
        <v>375</v>
      </c>
      <c r="P135" s="46" t="s">
        <v>306</v>
      </c>
      <c r="Q135" s="46" t="s">
        <v>379</v>
      </c>
      <c r="R135" s="54" t="s">
        <v>307</v>
      </c>
      <c r="S135" s="46">
        <v>1700</v>
      </c>
      <c r="T135" s="46">
        <v>500</v>
      </c>
      <c r="U135" s="46">
        <v>1000</v>
      </c>
      <c r="V135" s="46">
        <v>70</v>
      </c>
      <c r="W135" s="46">
        <v>0</v>
      </c>
      <c r="X135" s="46">
        <v>40600</v>
      </c>
      <c r="Y135" s="46" t="s">
        <v>267</v>
      </c>
      <c r="Z135" s="46" t="s">
        <v>309</v>
      </c>
      <c r="AA135" s="46" t="s">
        <v>309</v>
      </c>
      <c r="AB135" s="46">
        <v>2.5</v>
      </c>
    </row>
    <row r="136" spans="1:28" ht="16.5" customHeight="1">
      <c r="A136" s="46">
        <v>40626</v>
      </c>
      <c r="B136" s="46">
        <v>40600</v>
      </c>
      <c r="C136" s="46" t="s">
        <v>373</v>
      </c>
      <c r="D136" s="46">
        <v>4</v>
      </c>
      <c r="E136" s="46">
        <v>1</v>
      </c>
      <c r="F136" s="46">
        <v>280</v>
      </c>
      <c r="G136" s="46">
        <v>24</v>
      </c>
      <c r="H136" s="46">
        <v>5</v>
      </c>
      <c r="I136" s="46">
        <v>377</v>
      </c>
      <c r="J136" s="46" t="s">
        <v>399</v>
      </c>
      <c r="K136" s="46" t="s">
        <v>405</v>
      </c>
      <c r="L136" s="46" t="s">
        <v>401</v>
      </c>
      <c r="M136" s="46" t="s">
        <v>303</v>
      </c>
      <c r="N136" s="46" t="s">
        <v>304</v>
      </c>
      <c r="O136" s="46" t="s">
        <v>375</v>
      </c>
      <c r="P136" s="46" t="s">
        <v>306</v>
      </c>
      <c r="Q136" s="46" t="s">
        <v>379</v>
      </c>
      <c r="R136" s="54" t="s">
        <v>307</v>
      </c>
      <c r="S136" s="46">
        <v>1800</v>
      </c>
      <c r="T136" s="46">
        <v>500</v>
      </c>
      <c r="U136" s="46">
        <v>1000</v>
      </c>
      <c r="V136" s="46">
        <v>70</v>
      </c>
      <c r="W136" s="46">
        <v>0</v>
      </c>
      <c r="X136" s="46">
        <v>40600</v>
      </c>
      <c r="Y136" s="46" t="s">
        <v>267</v>
      </c>
      <c r="Z136" s="46" t="s">
        <v>309</v>
      </c>
      <c r="AA136" s="46" t="s">
        <v>309</v>
      </c>
      <c r="AB136" s="46">
        <v>2.5</v>
      </c>
    </row>
    <row r="137" spans="1:28" ht="16.5" customHeight="1">
      <c r="A137" s="46">
        <v>40627</v>
      </c>
      <c r="B137" s="46">
        <v>40600</v>
      </c>
      <c r="C137" s="46" t="s">
        <v>373</v>
      </c>
      <c r="D137" s="46">
        <v>4</v>
      </c>
      <c r="E137" s="46">
        <v>2</v>
      </c>
      <c r="F137" s="46">
        <v>400</v>
      </c>
      <c r="G137" s="46">
        <v>24</v>
      </c>
      <c r="H137" s="46">
        <v>5</v>
      </c>
      <c r="I137" s="46">
        <v>398</v>
      </c>
      <c r="J137" s="46" t="s">
        <v>399</v>
      </c>
      <c r="K137" s="46" t="s">
        <v>405</v>
      </c>
      <c r="L137" s="46" t="s">
        <v>401</v>
      </c>
      <c r="M137" s="46" t="s">
        <v>303</v>
      </c>
      <c r="N137" s="46" t="s">
        <v>304</v>
      </c>
      <c r="O137" s="46" t="s">
        <v>375</v>
      </c>
      <c r="P137" s="46" t="s">
        <v>306</v>
      </c>
      <c r="Q137" s="46" t="s">
        <v>379</v>
      </c>
      <c r="R137" s="54" t="s">
        <v>307</v>
      </c>
      <c r="S137" s="46">
        <v>1900</v>
      </c>
      <c r="T137" s="46">
        <v>500</v>
      </c>
      <c r="U137" s="46">
        <v>1000</v>
      </c>
      <c r="V137" s="46">
        <v>70</v>
      </c>
      <c r="W137" s="46">
        <v>0</v>
      </c>
      <c r="X137" s="46">
        <v>40600</v>
      </c>
      <c r="Y137" s="46" t="s">
        <v>267</v>
      </c>
      <c r="Z137" s="46" t="s">
        <v>309</v>
      </c>
      <c r="AA137" s="46" t="s">
        <v>309</v>
      </c>
      <c r="AB137" s="46">
        <v>2.5</v>
      </c>
    </row>
    <row r="138" spans="1:28" ht="16.5" customHeight="1">
      <c r="A138" s="46">
        <v>40628</v>
      </c>
      <c r="B138" s="46">
        <v>40600</v>
      </c>
      <c r="C138" s="46" t="s">
        <v>373</v>
      </c>
      <c r="D138" s="46">
        <v>4</v>
      </c>
      <c r="E138" s="46">
        <v>3</v>
      </c>
      <c r="F138" s="46">
        <v>600</v>
      </c>
      <c r="G138" s="46">
        <v>24</v>
      </c>
      <c r="H138" s="46">
        <v>5</v>
      </c>
      <c r="I138" s="46">
        <v>419</v>
      </c>
      <c r="J138" s="46" t="s">
        <v>399</v>
      </c>
      <c r="K138" s="46" t="s">
        <v>405</v>
      </c>
      <c r="L138" s="46" t="s">
        <v>401</v>
      </c>
      <c r="M138" s="46" t="s">
        <v>303</v>
      </c>
      <c r="N138" s="46" t="s">
        <v>304</v>
      </c>
      <c r="O138" s="46" t="s">
        <v>375</v>
      </c>
      <c r="P138" s="46" t="s">
        <v>306</v>
      </c>
      <c r="Q138" s="46" t="s">
        <v>379</v>
      </c>
      <c r="R138" s="54" t="s">
        <v>307</v>
      </c>
      <c r="S138" s="46">
        <v>2000</v>
      </c>
      <c r="T138" s="46">
        <v>500</v>
      </c>
      <c r="U138" s="46">
        <v>1000</v>
      </c>
      <c r="V138" s="46">
        <v>70</v>
      </c>
      <c r="W138" s="46">
        <v>0</v>
      </c>
      <c r="X138" s="46">
        <v>40600</v>
      </c>
      <c r="Y138" s="46" t="s">
        <v>267</v>
      </c>
      <c r="Z138" s="46" t="s">
        <v>309</v>
      </c>
      <c r="AA138" s="46" t="s">
        <v>309</v>
      </c>
      <c r="AB138" s="46">
        <v>2.5</v>
      </c>
    </row>
    <row r="139" spans="1:28" ht="16.5" customHeight="1">
      <c r="A139" s="46">
        <v>40629</v>
      </c>
      <c r="B139" s="46">
        <v>40600</v>
      </c>
      <c r="C139" s="46" t="s">
        <v>373</v>
      </c>
      <c r="D139" s="46">
        <v>4</v>
      </c>
      <c r="E139" s="46">
        <v>4</v>
      </c>
      <c r="F139" s="46">
        <v>900</v>
      </c>
      <c r="G139" s="46">
        <v>24</v>
      </c>
      <c r="H139" s="46">
        <v>5</v>
      </c>
      <c r="I139" s="46">
        <v>439</v>
      </c>
      <c r="J139" s="46" t="s">
        <v>399</v>
      </c>
      <c r="K139" s="46" t="s">
        <v>405</v>
      </c>
      <c r="L139" s="46" t="s">
        <v>401</v>
      </c>
      <c r="M139" s="46" t="s">
        <v>303</v>
      </c>
      <c r="N139" s="46" t="s">
        <v>304</v>
      </c>
      <c r="O139" s="46" t="s">
        <v>375</v>
      </c>
      <c r="P139" s="46" t="s">
        <v>306</v>
      </c>
      <c r="Q139" s="46" t="s">
        <v>379</v>
      </c>
      <c r="R139" s="54" t="s">
        <v>307</v>
      </c>
      <c r="S139" s="46">
        <v>2100</v>
      </c>
      <c r="T139" s="46">
        <v>500</v>
      </c>
      <c r="U139" s="46">
        <v>1000</v>
      </c>
      <c r="V139" s="46">
        <v>70</v>
      </c>
      <c r="W139" s="46">
        <v>0</v>
      </c>
      <c r="X139" s="46">
        <v>40600</v>
      </c>
      <c r="Y139" s="46" t="s">
        <v>267</v>
      </c>
      <c r="Z139" s="46" t="s">
        <v>309</v>
      </c>
      <c r="AA139" s="46" t="s">
        <v>309</v>
      </c>
      <c r="AB139" s="46">
        <v>2.5</v>
      </c>
    </row>
    <row r="140" spans="1:28" ht="16.5" customHeight="1">
      <c r="A140" s="46">
        <v>40630</v>
      </c>
      <c r="B140" s="46">
        <v>40600</v>
      </c>
      <c r="C140" s="46" t="s">
        <v>373</v>
      </c>
      <c r="D140" s="46">
        <v>4</v>
      </c>
      <c r="E140" s="46">
        <v>5</v>
      </c>
      <c r="F140" s="46">
        <v>1300</v>
      </c>
      <c r="G140" s="46">
        <v>48</v>
      </c>
      <c r="H140" s="46">
        <v>6</v>
      </c>
      <c r="I140" s="46">
        <v>460</v>
      </c>
      <c r="J140" s="46" t="s">
        <v>399</v>
      </c>
      <c r="K140" s="46" t="s">
        <v>405</v>
      </c>
      <c r="L140" s="46" t="s">
        <v>401</v>
      </c>
      <c r="M140" s="46" t="s">
        <v>303</v>
      </c>
      <c r="N140" s="46" t="s">
        <v>304</v>
      </c>
      <c r="O140" s="46" t="s">
        <v>375</v>
      </c>
      <c r="P140" s="46" t="s">
        <v>306</v>
      </c>
      <c r="Q140" s="46" t="s">
        <v>379</v>
      </c>
      <c r="R140" s="54" t="s">
        <v>307</v>
      </c>
      <c r="S140" s="46">
        <v>2200</v>
      </c>
      <c r="T140" s="46">
        <v>500</v>
      </c>
      <c r="U140" s="46">
        <v>1000</v>
      </c>
      <c r="V140" s="46">
        <v>70</v>
      </c>
      <c r="W140" s="46">
        <v>0</v>
      </c>
      <c r="X140" s="46">
        <v>40600</v>
      </c>
      <c r="Y140" s="46" t="s">
        <v>267</v>
      </c>
      <c r="Z140" s="46" t="s">
        <v>309</v>
      </c>
      <c r="AA140" s="46" t="s">
        <v>309</v>
      </c>
      <c r="AB140" s="46">
        <v>2.5</v>
      </c>
    </row>
    <row r="141" spans="1:28" ht="16.5" customHeight="1">
      <c r="A141" s="46">
        <v>40631</v>
      </c>
      <c r="B141" s="46">
        <v>40600</v>
      </c>
      <c r="C141" s="46" t="s">
        <v>373</v>
      </c>
      <c r="D141" s="46">
        <v>5</v>
      </c>
      <c r="E141" s="46">
        <v>0</v>
      </c>
      <c r="F141" s="46">
        <v>1800</v>
      </c>
      <c r="G141" s="46">
        <v>48</v>
      </c>
      <c r="H141" s="46">
        <v>6</v>
      </c>
      <c r="I141" s="46">
        <v>482</v>
      </c>
      <c r="J141" s="46" t="s">
        <v>399</v>
      </c>
      <c r="K141" s="46" t="s">
        <v>406</v>
      </c>
      <c r="L141" s="46" t="s">
        <v>401</v>
      </c>
      <c r="M141" s="46" t="s">
        <v>303</v>
      </c>
      <c r="N141" s="46" t="s">
        <v>304</v>
      </c>
      <c r="O141" s="46" t="s">
        <v>375</v>
      </c>
      <c r="P141" s="46" t="s">
        <v>306</v>
      </c>
      <c r="Q141" s="46" t="s">
        <v>379</v>
      </c>
      <c r="R141" s="54" t="s">
        <v>307</v>
      </c>
      <c r="S141" s="46">
        <v>2300</v>
      </c>
      <c r="T141" s="46">
        <v>550</v>
      </c>
      <c r="U141" s="46">
        <v>1100</v>
      </c>
      <c r="V141" s="46">
        <v>75</v>
      </c>
      <c r="W141" s="46">
        <v>0</v>
      </c>
      <c r="X141" s="46">
        <v>40600</v>
      </c>
      <c r="Y141" s="46" t="s">
        <v>267</v>
      </c>
      <c r="Z141" s="46" t="s">
        <v>309</v>
      </c>
      <c r="AA141" s="46" t="s">
        <v>309</v>
      </c>
      <c r="AB141" s="46">
        <v>2.5</v>
      </c>
    </row>
    <row r="142" spans="1:28" ht="16.5" customHeight="1">
      <c r="A142" s="46">
        <v>40632</v>
      </c>
      <c r="B142" s="46">
        <v>40600</v>
      </c>
      <c r="C142" s="46" t="s">
        <v>373</v>
      </c>
      <c r="D142" s="46">
        <v>5</v>
      </c>
      <c r="E142" s="46">
        <v>1</v>
      </c>
      <c r="F142" s="46">
        <v>2400</v>
      </c>
      <c r="G142" s="46">
        <v>48</v>
      </c>
      <c r="H142" s="46">
        <v>6</v>
      </c>
      <c r="I142" s="46">
        <v>505</v>
      </c>
      <c r="J142" s="46" t="s">
        <v>399</v>
      </c>
      <c r="K142" s="46" t="s">
        <v>406</v>
      </c>
      <c r="L142" s="46" t="s">
        <v>401</v>
      </c>
      <c r="M142" s="46" t="s">
        <v>303</v>
      </c>
      <c r="N142" s="46" t="s">
        <v>304</v>
      </c>
      <c r="O142" s="46" t="s">
        <v>375</v>
      </c>
      <c r="P142" s="46" t="s">
        <v>306</v>
      </c>
      <c r="Q142" s="46" t="s">
        <v>379</v>
      </c>
      <c r="R142" s="54" t="s">
        <v>307</v>
      </c>
      <c r="S142" s="46">
        <v>2400</v>
      </c>
      <c r="T142" s="46">
        <v>550</v>
      </c>
      <c r="U142" s="46">
        <v>1100</v>
      </c>
      <c r="V142" s="46">
        <v>75</v>
      </c>
      <c r="W142" s="46">
        <v>0</v>
      </c>
      <c r="X142" s="46">
        <v>40600</v>
      </c>
      <c r="Y142" s="46" t="s">
        <v>267</v>
      </c>
      <c r="Z142" s="46" t="s">
        <v>309</v>
      </c>
      <c r="AA142" s="46" t="s">
        <v>309</v>
      </c>
      <c r="AB142" s="46">
        <v>2.5</v>
      </c>
    </row>
    <row r="143" spans="1:28" ht="16.5" customHeight="1">
      <c r="A143" s="46">
        <v>40633</v>
      </c>
      <c r="B143" s="46">
        <v>40600</v>
      </c>
      <c r="C143" s="46" t="s">
        <v>373</v>
      </c>
      <c r="D143" s="46">
        <v>5</v>
      </c>
      <c r="E143" s="46">
        <v>2</v>
      </c>
      <c r="F143" s="46">
        <v>3100</v>
      </c>
      <c r="G143" s="46">
        <v>48</v>
      </c>
      <c r="H143" s="46">
        <v>6</v>
      </c>
      <c r="I143" s="46">
        <v>527</v>
      </c>
      <c r="J143" s="46" t="s">
        <v>399</v>
      </c>
      <c r="K143" s="46" t="s">
        <v>406</v>
      </c>
      <c r="L143" s="46" t="s">
        <v>401</v>
      </c>
      <c r="M143" s="46" t="s">
        <v>303</v>
      </c>
      <c r="N143" s="46" t="s">
        <v>304</v>
      </c>
      <c r="O143" s="46" t="s">
        <v>375</v>
      </c>
      <c r="P143" s="46" t="s">
        <v>306</v>
      </c>
      <c r="Q143" s="46" t="s">
        <v>379</v>
      </c>
      <c r="R143" s="54" t="s">
        <v>307</v>
      </c>
      <c r="S143" s="46">
        <v>2500</v>
      </c>
      <c r="T143" s="46">
        <v>550</v>
      </c>
      <c r="U143" s="46">
        <v>1100</v>
      </c>
      <c r="V143" s="46">
        <v>75</v>
      </c>
      <c r="W143" s="46">
        <v>0</v>
      </c>
      <c r="X143" s="46">
        <v>40600</v>
      </c>
      <c r="Y143" s="46" t="s">
        <v>267</v>
      </c>
      <c r="Z143" s="46" t="s">
        <v>309</v>
      </c>
      <c r="AA143" s="46" t="s">
        <v>309</v>
      </c>
      <c r="AB143" s="46">
        <v>2.5</v>
      </c>
    </row>
    <row r="144" spans="1:28" ht="16.5" customHeight="1">
      <c r="A144" s="46">
        <v>40634</v>
      </c>
      <c r="B144" s="46">
        <v>40600</v>
      </c>
      <c r="C144" s="46" t="s">
        <v>373</v>
      </c>
      <c r="D144" s="46">
        <v>5</v>
      </c>
      <c r="E144" s="46">
        <v>3</v>
      </c>
      <c r="F144" s="46">
        <v>4000</v>
      </c>
      <c r="G144" s="46">
        <v>48</v>
      </c>
      <c r="H144" s="46">
        <v>6</v>
      </c>
      <c r="I144" s="46">
        <v>550</v>
      </c>
      <c r="J144" s="46" t="s">
        <v>399</v>
      </c>
      <c r="K144" s="46" t="s">
        <v>406</v>
      </c>
      <c r="L144" s="46" t="s">
        <v>401</v>
      </c>
      <c r="M144" s="46" t="s">
        <v>303</v>
      </c>
      <c r="N144" s="46" t="s">
        <v>304</v>
      </c>
      <c r="O144" s="46" t="s">
        <v>375</v>
      </c>
      <c r="P144" s="46" t="s">
        <v>306</v>
      </c>
      <c r="Q144" s="46" t="s">
        <v>379</v>
      </c>
      <c r="R144" s="54" t="s">
        <v>307</v>
      </c>
      <c r="S144" s="46">
        <v>2600</v>
      </c>
      <c r="T144" s="46">
        <v>550</v>
      </c>
      <c r="U144" s="46">
        <v>1100</v>
      </c>
      <c r="V144" s="46">
        <v>75</v>
      </c>
      <c r="W144" s="46">
        <v>0</v>
      </c>
      <c r="X144" s="46">
        <v>40600</v>
      </c>
      <c r="Y144" s="46" t="s">
        <v>267</v>
      </c>
      <c r="Z144" s="46" t="s">
        <v>309</v>
      </c>
      <c r="AA144" s="46" t="s">
        <v>309</v>
      </c>
      <c r="AB144" s="46">
        <v>2.5</v>
      </c>
    </row>
    <row r="145" spans="1:28" ht="16.5" customHeight="1">
      <c r="A145" s="46">
        <v>40635</v>
      </c>
      <c r="B145" s="46">
        <v>40600</v>
      </c>
      <c r="C145" s="46" t="s">
        <v>373</v>
      </c>
      <c r="D145" s="46">
        <v>5</v>
      </c>
      <c r="E145" s="46">
        <v>4</v>
      </c>
      <c r="F145" s="46">
        <v>5000</v>
      </c>
      <c r="G145" s="46">
        <v>48</v>
      </c>
      <c r="H145" s="46">
        <v>6</v>
      </c>
      <c r="I145" s="46">
        <v>572</v>
      </c>
      <c r="J145" s="46" t="s">
        <v>399</v>
      </c>
      <c r="K145" s="46" t="s">
        <v>406</v>
      </c>
      <c r="L145" s="46" t="s">
        <v>401</v>
      </c>
      <c r="M145" s="46" t="s">
        <v>303</v>
      </c>
      <c r="N145" s="46" t="s">
        <v>304</v>
      </c>
      <c r="O145" s="46" t="s">
        <v>375</v>
      </c>
      <c r="P145" s="46" t="s">
        <v>306</v>
      </c>
      <c r="Q145" s="46" t="s">
        <v>379</v>
      </c>
      <c r="R145" s="54" t="s">
        <v>307</v>
      </c>
      <c r="S145" s="46">
        <v>2700</v>
      </c>
      <c r="T145" s="46">
        <v>550</v>
      </c>
      <c r="U145" s="46">
        <v>1100</v>
      </c>
      <c r="V145" s="46">
        <v>75</v>
      </c>
      <c r="W145" s="46">
        <v>0</v>
      </c>
      <c r="X145" s="46">
        <v>40600</v>
      </c>
      <c r="Y145" s="46" t="s">
        <v>267</v>
      </c>
      <c r="Z145" s="46" t="s">
        <v>309</v>
      </c>
      <c r="AA145" s="46" t="s">
        <v>309</v>
      </c>
      <c r="AB145" s="46">
        <v>2.5</v>
      </c>
    </row>
    <row r="146" spans="1:28" ht="16.5" customHeight="1">
      <c r="A146" s="46">
        <v>40636</v>
      </c>
      <c r="B146" s="46">
        <v>40600</v>
      </c>
      <c r="C146" s="46" t="s">
        <v>373</v>
      </c>
      <c r="D146" s="46">
        <v>5</v>
      </c>
      <c r="E146" s="46">
        <v>5</v>
      </c>
      <c r="F146" s="46">
        <v>0</v>
      </c>
      <c r="G146" s="46">
        <v>0</v>
      </c>
      <c r="H146" s="46">
        <v>6</v>
      </c>
      <c r="I146" s="46">
        <v>595</v>
      </c>
      <c r="J146" s="46" t="s">
        <v>399</v>
      </c>
      <c r="K146" s="46" t="s">
        <v>406</v>
      </c>
      <c r="L146" s="46" t="s">
        <v>401</v>
      </c>
      <c r="M146" s="46" t="s">
        <v>303</v>
      </c>
      <c r="N146" s="46" t="s">
        <v>304</v>
      </c>
      <c r="O146" s="46" t="s">
        <v>375</v>
      </c>
      <c r="P146" s="46" t="s">
        <v>306</v>
      </c>
      <c r="Q146" s="46" t="s">
        <v>379</v>
      </c>
      <c r="R146" s="54" t="s">
        <v>307</v>
      </c>
      <c r="S146" s="46">
        <v>2800</v>
      </c>
      <c r="T146" s="46">
        <v>550</v>
      </c>
      <c r="U146" s="46">
        <v>1100</v>
      </c>
      <c r="V146" s="46">
        <v>75</v>
      </c>
      <c r="W146" s="46">
        <v>0</v>
      </c>
      <c r="X146" s="46">
        <v>40600</v>
      </c>
      <c r="Y146" s="46" t="s">
        <v>267</v>
      </c>
      <c r="Z146" s="46" t="s">
        <v>309</v>
      </c>
      <c r="AA146" s="46" t="s">
        <v>309</v>
      </c>
      <c r="AB146" s="46">
        <v>2.5</v>
      </c>
    </row>
  </sheetData>
  <phoneticPr fontId="3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Y146"/>
  <sheetViews>
    <sheetView topLeftCell="M1" workbookViewId="0">
      <selection activeCell="Y1" sqref="Y1"/>
    </sheetView>
  </sheetViews>
  <sheetFormatPr defaultRowHeight="16.5"/>
  <cols>
    <col min="1" max="1" width="6.5" style="48" customWidth="1"/>
    <col min="2" max="2" width="14.25" style="48" bestFit="1" customWidth="1"/>
    <col min="3" max="3" width="5.625" style="48" bestFit="1" customWidth="1"/>
    <col min="4" max="4" width="5.25" style="48" customWidth="1"/>
    <col min="5" max="5" width="10.5" style="48" customWidth="1"/>
    <col min="6" max="6" width="16.375" style="48" customWidth="1"/>
    <col min="7" max="7" width="13.5" style="48" bestFit="1" customWidth="1"/>
    <col min="8" max="8" width="14.25" style="48" bestFit="1" customWidth="1"/>
    <col min="9" max="9" width="15.625" style="48" bestFit="1" customWidth="1"/>
    <col min="10" max="10" width="24" style="48" customWidth="1"/>
    <col min="11" max="11" width="10.875" style="48" customWidth="1"/>
    <col min="12" max="12" width="10.5" style="48" customWidth="1"/>
    <col min="13" max="13" width="12.75" style="48" customWidth="1"/>
    <col min="14" max="14" width="15.125" style="48" customWidth="1"/>
    <col min="15" max="15" width="18.5" style="48" customWidth="1"/>
    <col min="16" max="16" width="8.75" style="48" customWidth="1"/>
    <col min="17" max="17" width="13.375" style="48" bestFit="1" customWidth="1"/>
    <col min="18" max="18" width="4.5" style="48" bestFit="1" customWidth="1"/>
    <col min="19" max="19" width="7.25" style="45" bestFit="1" customWidth="1"/>
    <col min="20" max="20" width="12.125" style="45" bestFit="1" customWidth="1"/>
    <col min="21" max="21" width="15.125" style="48" customWidth="1"/>
    <col min="22" max="22" width="8.25" style="48" bestFit="1" customWidth="1"/>
    <col min="23" max="23" width="18.375" style="48" bestFit="1" customWidth="1"/>
    <col min="24" max="24" width="20.5" style="48" bestFit="1" customWidth="1"/>
    <col min="25" max="25" width="20" style="48" bestFit="1" customWidth="1"/>
    <col min="26" max="16384" width="9" style="48"/>
  </cols>
  <sheetData>
    <row r="1" spans="1:25">
      <c r="A1" s="38" t="s">
        <v>14</v>
      </c>
      <c r="B1" s="38" t="s">
        <v>271</v>
      </c>
      <c r="C1" s="38" t="s">
        <v>272</v>
      </c>
      <c r="D1" s="38" t="s">
        <v>273</v>
      </c>
      <c r="E1" s="38" t="s">
        <v>274</v>
      </c>
      <c r="F1" s="38" t="s">
        <v>275</v>
      </c>
      <c r="G1" s="38" t="s">
        <v>276</v>
      </c>
      <c r="H1" s="38" t="s">
        <v>277</v>
      </c>
      <c r="I1" s="38" t="s">
        <v>278</v>
      </c>
      <c r="J1" s="38" t="s">
        <v>123</v>
      </c>
      <c r="K1" s="38" t="s">
        <v>279</v>
      </c>
      <c r="L1" s="38" t="s">
        <v>280</v>
      </c>
      <c r="M1" s="38" t="s">
        <v>283</v>
      </c>
      <c r="N1" s="38" t="s">
        <v>284</v>
      </c>
      <c r="O1" s="38" t="s">
        <v>285</v>
      </c>
      <c r="P1" s="38" t="s">
        <v>286</v>
      </c>
      <c r="Q1" s="38" t="s">
        <v>288</v>
      </c>
      <c r="R1" s="38" t="s">
        <v>289</v>
      </c>
      <c r="S1" s="38" t="s">
        <v>290</v>
      </c>
      <c r="T1" s="38" t="s">
        <v>407</v>
      </c>
      <c r="U1" s="38" t="s">
        <v>408</v>
      </c>
      <c r="V1" s="38" t="s">
        <v>297</v>
      </c>
      <c r="W1" s="38" t="s">
        <v>298</v>
      </c>
      <c r="X1" s="38" t="s">
        <v>299</v>
      </c>
      <c r="Y1" s="38" t="s">
        <v>409</v>
      </c>
    </row>
    <row r="2" spans="1:25">
      <c r="A2" s="46">
        <v>4</v>
      </c>
      <c r="B2" s="46">
        <v>4</v>
      </c>
      <c r="C2" s="46" t="s">
        <v>410</v>
      </c>
      <c r="D2" s="46">
        <v>0</v>
      </c>
      <c r="E2" s="46">
        <v>0</v>
      </c>
      <c r="F2" s="46">
        <v>0</v>
      </c>
      <c r="G2" s="46">
        <v>0</v>
      </c>
      <c r="H2" s="46">
        <v>0</v>
      </c>
      <c r="I2" s="46">
        <v>0</v>
      </c>
      <c r="J2" s="46"/>
      <c r="K2" s="46" t="s">
        <v>411</v>
      </c>
      <c r="L2" s="46" t="s">
        <v>312</v>
      </c>
      <c r="M2" s="46" t="s">
        <v>303</v>
      </c>
      <c r="N2" s="46" t="s">
        <v>304</v>
      </c>
      <c r="O2" s="46" t="s">
        <v>412</v>
      </c>
      <c r="P2" s="46" t="s">
        <v>306</v>
      </c>
      <c r="Q2" s="54" t="s">
        <v>307</v>
      </c>
      <c r="R2" s="46">
        <v>0</v>
      </c>
      <c r="S2" s="46">
        <v>0</v>
      </c>
      <c r="T2" s="46">
        <v>0</v>
      </c>
      <c r="U2" s="46">
        <v>0</v>
      </c>
      <c r="V2" s="46">
        <v>0</v>
      </c>
      <c r="W2" s="46" t="s">
        <v>267</v>
      </c>
      <c r="X2" s="46" t="s">
        <v>309</v>
      </c>
      <c r="Y2" s="46" t="s">
        <v>309</v>
      </c>
    </row>
    <row r="3" spans="1:25">
      <c r="A3" s="46">
        <v>46001</v>
      </c>
      <c r="B3" s="46">
        <v>46000</v>
      </c>
      <c r="C3" s="46" t="s">
        <v>410</v>
      </c>
      <c r="D3" s="46">
        <v>0</v>
      </c>
      <c r="E3" s="46">
        <v>0</v>
      </c>
      <c r="F3" s="46">
        <v>10</v>
      </c>
      <c r="G3" s="46">
        <v>1</v>
      </c>
      <c r="H3" s="46">
        <v>1</v>
      </c>
      <c r="I3" s="46">
        <v>132</v>
      </c>
      <c r="J3" s="46" t="s">
        <v>413</v>
      </c>
      <c r="K3" s="46" t="s">
        <v>414</v>
      </c>
      <c r="L3" s="46" t="s">
        <v>312</v>
      </c>
      <c r="M3" s="46" t="s">
        <v>303</v>
      </c>
      <c r="N3" s="46" t="s">
        <v>304</v>
      </c>
      <c r="O3" s="46" t="s">
        <v>412</v>
      </c>
      <c r="P3" s="46" t="s">
        <v>306</v>
      </c>
      <c r="Q3" s="54" t="s">
        <v>307</v>
      </c>
      <c r="R3" s="46">
        <v>80</v>
      </c>
      <c r="S3" s="46">
        <v>80</v>
      </c>
      <c r="T3" s="46">
        <v>2</v>
      </c>
      <c r="U3" s="46">
        <v>20</v>
      </c>
      <c r="V3" s="46">
        <v>46000</v>
      </c>
      <c r="W3" s="46" t="s">
        <v>267</v>
      </c>
      <c r="X3" s="46" t="s">
        <v>309</v>
      </c>
      <c r="Y3" s="46" t="s">
        <v>309</v>
      </c>
    </row>
    <row r="4" spans="1:25">
      <c r="A4" s="46">
        <v>46002</v>
      </c>
      <c r="B4" s="46">
        <v>46000</v>
      </c>
      <c r="C4" s="46" t="s">
        <v>410</v>
      </c>
      <c r="D4" s="46">
        <v>0</v>
      </c>
      <c r="E4" s="46">
        <v>1</v>
      </c>
      <c r="F4" s="46">
        <v>10</v>
      </c>
      <c r="G4" s="46">
        <v>1</v>
      </c>
      <c r="H4" s="46">
        <v>1</v>
      </c>
      <c r="I4" s="46">
        <v>143</v>
      </c>
      <c r="J4" s="46" t="s">
        <v>413</v>
      </c>
      <c r="K4" s="46" t="s">
        <v>414</v>
      </c>
      <c r="L4" s="46" t="s">
        <v>312</v>
      </c>
      <c r="M4" s="46" t="s">
        <v>303</v>
      </c>
      <c r="N4" s="46" t="s">
        <v>304</v>
      </c>
      <c r="O4" s="46" t="s">
        <v>412</v>
      </c>
      <c r="P4" s="46" t="s">
        <v>306</v>
      </c>
      <c r="Q4" s="54" t="s">
        <v>307</v>
      </c>
      <c r="R4" s="46">
        <v>85</v>
      </c>
      <c r="S4" s="46">
        <v>80</v>
      </c>
      <c r="T4" s="46">
        <v>2</v>
      </c>
      <c r="U4" s="46">
        <v>20</v>
      </c>
      <c r="V4" s="46">
        <v>46000</v>
      </c>
      <c r="W4" s="46" t="s">
        <v>267</v>
      </c>
      <c r="X4" s="46" t="s">
        <v>309</v>
      </c>
      <c r="Y4" s="46" t="s">
        <v>309</v>
      </c>
    </row>
    <row r="5" spans="1:25">
      <c r="A5" s="46">
        <v>46003</v>
      </c>
      <c r="B5" s="46">
        <v>46000</v>
      </c>
      <c r="C5" s="46" t="s">
        <v>410</v>
      </c>
      <c r="D5" s="46">
        <v>0</v>
      </c>
      <c r="E5" s="46">
        <v>2</v>
      </c>
      <c r="F5" s="46">
        <v>10</v>
      </c>
      <c r="G5" s="46">
        <v>1</v>
      </c>
      <c r="H5" s="46">
        <v>1</v>
      </c>
      <c r="I5" s="46">
        <v>154</v>
      </c>
      <c r="J5" s="46" t="s">
        <v>413</v>
      </c>
      <c r="K5" s="46" t="s">
        <v>414</v>
      </c>
      <c r="L5" s="46" t="s">
        <v>312</v>
      </c>
      <c r="M5" s="46" t="s">
        <v>303</v>
      </c>
      <c r="N5" s="46" t="s">
        <v>304</v>
      </c>
      <c r="O5" s="46" t="s">
        <v>412</v>
      </c>
      <c r="P5" s="46" t="s">
        <v>306</v>
      </c>
      <c r="Q5" s="54" t="s">
        <v>307</v>
      </c>
      <c r="R5" s="46">
        <v>90</v>
      </c>
      <c r="S5" s="46">
        <v>80</v>
      </c>
      <c r="T5" s="46">
        <v>2</v>
      </c>
      <c r="U5" s="46">
        <v>20</v>
      </c>
      <c r="V5" s="46">
        <v>46000</v>
      </c>
      <c r="W5" s="46" t="s">
        <v>267</v>
      </c>
      <c r="X5" s="46" t="s">
        <v>309</v>
      </c>
      <c r="Y5" s="46" t="s">
        <v>309</v>
      </c>
    </row>
    <row r="6" spans="1:25">
      <c r="A6" s="46">
        <v>46004</v>
      </c>
      <c r="B6" s="46">
        <v>46000</v>
      </c>
      <c r="C6" s="46" t="s">
        <v>410</v>
      </c>
      <c r="D6" s="46">
        <v>0</v>
      </c>
      <c r="E6" s="46">
        <v>3</v>
      </c>
      <c r="F6" s="46">
        <v>10</v>
      </c>
      <c r="G6" s="46">
        <v>1</v>
      </c>
      <c r="H6" s="46">
        <v>1</v>
      </c>
      <c r="I6" s="46">
        <v>165</v>
      </c>
      <c r="J6" s="46" t="s">
        <v>413</v>
      </c>
      <c r="K6" s="46" t="s">
        <v>414</v>
      </c>
      <c r="L6" s="46" t="s">
        <v>312</v>
      </c>
      <c r="M6" s="46" t="s">
        <v>303</v>
      </c>
      <c r="N6" s="46" t="s">
        <v>304</v>
      </c>
      <c r="O6" s="46" t="s">
        <v>412</v>
      </c>
      <c r="P6" s="46" t="s">
        <v>306</v>
      </c>
      <c r="Q6" s="54" t="s">
        <v>307</v>
      </c>
      <c r="R6" s="46">
        <v>95</v>
      </c>
      <c r="S6" s="46">
        <v>80</v>
      </c>
      <c r="T6" s="46">
        <v>2</v>
      </c>
      <c r="U6" s="46">
        <v>20</v>
      </c>
      <c r="V6" s="46">
        <v>46000</v>
      </c>
      <c r="W6" s="46" t="s">
        <v>267</v>
      </c>
      <c r="X6" s="46" t="s">
        <v>309</v>
      </c>
      <c r="Y6" s="46" t="s">
        <v>309</v>
      </c>
    </row>
    <row r="7" spans="1:25">
      <c r="A7" s="46">
        <v>46005</v>
      </c>
      <c r="B7" s="46">
        <v>46000</v>
      </c>
      <c r="C7" s="46" t="s">
        <v>410</v>
      </c>
      <c r="D7" s="46">
        <v>0</v>
      </c>
      <c r="E7" s="46">
        <v>4</v>
      </c>
      <c r="F7" s="46">
        <v>10</v>
      </c>
      <c r="G7" s="46">
        <v>1</v>
      </c>
      <c r="H7" s="46">
        <v>1</v>
      </c>
      <c r="I7" s="46">
        <v>176</v>
      </c>
      <c r="J7" s="46" t="s">
        <v>413</v>
      </c>
      <c r="K7" s="46" t="s">
        <v>414</v>
      </c>
      <c r="L7" s="46" t="s">
        <v>312</v>
      </c>
      <c r="M7" s="46" t="s">
        <v>303</v>
      </c>
      <c r="N7" s="46" t="s">
        <v>304</v>
      </c>
      <c r="O7" s="46" t="s">
        <v>412</v>
      </c>
      <c r="P7" s="46" t="s">
        <v>306</v>
      </c>
      <c r="Q7" s="54" t="s">
        <v>307</v>
      </c>
      <c r="R7" s="46">
        <v>100</v>
      </c>
      <c r="S7" s="46">
        <v>80</v>
      </c>
      <c r="T7" s="46">
        <v>2</v>
      </c>
      <c r="U7" s="46">
        <v>19</v>
      </c>
      <c r="V7" s="46">
        <v>46000</v>
      </c>
      <c r="W7" s="46" t="s">
        <v>267</v>
      </c>
      <c r="X7" s="46" t="s">
        <v>309</v>
      </c>
      <c r="Y7" s="46" t="s">
        <v>309</v>
      </c>
    </row>
    <row r="8" spans="1:25">
      <c r="A8" s="46">
        <v>46006</v>
      </c>
      <c r="B8" s="46">
        <v>46000</v>
      </c>
      <c r="C8" s="46" t="s">
        <v>410</v>
      </c>
      <c r="D8" s="46">
        <v>0</v>
      </c>
      <c r="E8" s="46">
        <v>5</v>
      </c>
      <c r="F8" s="46">
        <v>20</v>
      </c>
      <c r="G8" s="46">
        <v>1</v>
      </c>
      <c r="H8" s="46">
        <v>2</v>
      </c>
      <c r="I8" s="46">
        <v>187.00000000000003</v>
      </c>
      <c r="J8" s="46" t="s">
        <v>413</v>
      </c>
      <c r="K8" s="46" t="s">
        <v>414</v>
      </c>
      <c r="L8" s="46" t="s">
        <v>312</v>
      </c>
      <c r="M8" s="46" t="s">
        <v>303</v>
      </c>
      <c r="N8" s="46" t="s">
        <v>304</v>
      </c>
      <c r="O8" s="46" t="s">
        <v>412</v>
      </c>
      <c r="P8" s="46" t="s">
        <v>306</v>
      </c>
      <c r="Q8" s="54" t="s">
        <v>307</v>
      </c>
      <c r="R8" s="46">
        <v>105</v>
      </c>
      <c r="S8" s="46">
        <v>80</v>
      </c>
      <c r="T8" s="46">
        <v>2</v>
      </c>
      <c r="U8" s="46">
        <v>19</v>
      </c>
      <c r="V8" s="46">
        <v>46000</v>
      </c>
      <c r="W8" s="46" t="s">
        <v>267</v>
      </c>
      <c r="X8" s="46" t="s">
        <v>309</v>
      </c>
      <c r="Y8" s="46" t="s">
        <v>309</v>
      </c>
    </row>
    <row r="9" spans="1:25">
      <c r="A9" s="46">
        <v>46007</v>
      </c>
      <c r="B9" s="46">
        <v>46000</v>
      </c>
      <c r="C9" s="46" t="s">
        <v>410</v>
      </c>
      <c r="D9" s="46">
        <v>1</v>
      </c>
      <c r="E9" s="46">
        <v>0</v>
      </c>
      <c r="F9" s="46">
        <v>20</v>
      </c>
      <c r="G9" s="46">
        <v>2</v>
      </c>
      <c r="H9" s="46">
        <v>2</v>
      </c>
      <c r="I9" s="46">
        <v>198.00000000000003</v>
      </c>
      <c r="J9" s="46" t="s">
        <v>413</v>
      </c>
      <c r="K9" s="46" t="s">
        <v>415</v>
      </c>
      <c r="L9" s="46" t="s">
        <v>312</v>
      </c>
      <c r="M9" s="46" t="s">
        <v>303</v>
      </c>
      <c r="N9" s="46" t="s">
        <v>304</v>
      </c>
      <c r="O9" s="46" t="s">
        <v>412</v>
      </c>
      <c r="P9" s="46" t="s">
        <v>306</v>
      </c>
      <c r="Q9" s="54" t="s">
        <v>307</v>
      </c>
      <c r="R9" s="46">
        <v>112</v>
      </c>
      <c r="S9" s="46">
        <v>110</v>
      </c>
      <c r="T9" s="46">
        <v>2</v>
      </c>
      <c r="U9" s="46">
        <v>19</v>
      </c>
      <c r="V9" s="46">
        <v>46000</v>
      </c>
      <c r="W9" s="46" t="s">
        <v>267</v>
      </c>
      <c r="X9" s="46" t="s">
        <v>309</v>
      </c>
      <c r="Y9" s="46" t="s">
        <v>309</v>
      </c>
    </row>
    <row r="10" spans="1:25">
      <c r="A10" s="46">
        <v>46008</v>
      </c>
      <c r="B10" s="46">
        <v>46000</v>
      </c>
      <c r="C10" s="46" t="s">
        <v>410</v>
      </c>
      <c r="D10" s="46">
        <v>1</v>
      </c>
      <c r="E10" s="46">
        <v>1</v>
      </c>
      <c r="F10" s="46">
        <v>20</v>
      </c>
      <c r="G10" s="46">
        <v>2</v>
      </c>
      <c r="H10" s="46">
        <v>2</v>
      </c>
      <c r="I10" s="46">
        <v>209.00000000000003</v>
      </c>
      <c r="J10" s="46" t="s">
        <v>413</v>
      </c>
      <c r="K10" s="46" t="s">
        <v>415</v>
      </c>
      <c r="L10" s="46" t="s">
        <v>312</v>
      </c>
      <c r="M10" s="46" t="s">
        <v>303</v>
      </c>
      <c r="N10" s="46" t="s">
        <v>304</v>
      </c>
      <c r="O10" s="46" t="s">
        <v>412</v>
      </c>
      <c r="P10" s="46" t="s">
        <v>306</v>
      </c>
      <c r="Q10" s="54" t="s">
        <v>307</v>
      </c>
      <c r="R10" s="46">
        <v>119</v>
      </c>
      <c r="S10" s="46">
        <v>110</v>
      </c>
      <c r="T10" s="46">
        <v>2</v>
      </c>
      <c r="U10" s="46">
        <v>19</v>
      </c>
      <c r="V10" s="46">
        <v>46000</v>
      </c>
      <c r="W10" s="46" t="s">
        <v>267</v>
      </c>
      <c r="X10" s="46" t="s">
        <v>309</v>
      </c>
      <c r="Y10" s="46" t="s">
        <v>309</v>
      </c>
    </row>
    <row r="11" spans="1:25">
      <c r="A11" s="46">
        <v>46009</v>
      </c>
      <c r="B11" s="46">
        <v>46000</v>
      </c>
      <c r="C11" s="46" t="s">
        <v>410</v>
      </c>
      <c r="D11" s="46">
        <v>1</v>
      </c>
      <c r="E11" s="46">
        <v>2</v>
      </c>
      <c r="F11" s="46">
        <v>20</v>
      </c>
      <c r="G11" s="46">
        <v>2</v>
      </c>
      <c r="H11" s="46">
        <v>2</v>
      </c>
      <c r="I11" s="46">
        <v>220.00000000000003</v>
      </c>
      <c r="J11" s="46" t="s">
        <v>413</v>
      </c>
      <c r="K11" s="46" t="s">
        <v>415</v>
      </c>
      <c r="L11" s="46" t="s">
        <v>312</v>
      </c>
      <c r="M11" s="46" t="s">
        <v>303</v>
      </c>
      <c r="N11" s="46" t="s">
        <v>304</v>
      </c>
      <c r="O11" s="46" t="s">
        <v>412</v>
      </c>
      <c r="P11" s="46" t="s">
        <v>306</v>
      </c>
      <c r="Q11" s="54" t="s">
        <v>307</v>
      </c>
      <c r="R11" s="46">
        <v>126</v>
      </c>
      <c r="S11" s="46">
        <v>110</v>
      </c>
      <c r="T11" s="46">
        <v>2</v>
      </c>
      <c r="U11" s="46">
        <v>19</v>
      </c>
      <c r="V11" s="46">
        <v>46000</v>
      </c>
      <c r="W11" s="46" t="s">
        <v>267</v>
      </c>
      <c r="X11" s="46" t="s">
        <v>309</v>
      </c>
      <c r="Y11" s="46" t="s">
        <v>309</v>
      </c>
    </row>
    <row r="12" spans="1:25">
      <c r="A12" s="46">
        <v>46010</v>
      </c>
      <c r="B12" s="46">
        <v>46000</v>
      </c>
      <c r="C12" s="46" t="s">
        <v>410</v>
      </c>
      <c r="D12" s="46">
        <v>1</v>
      </c>
      <c r="E12" s="46">
        <v>3</v>
      </c>
      <c r="F12" s="46">
        <v>20</v>
      </c>
      <c r="G12" s="46">
        <v>2</v>
      </c>
      <c r="H12" s="46">
        <v>2</v>
      </c>
      <c r="I12" s="46">
        <v>231.00000000000003</v>
      </c>
      <c r="J12" s="46" t="s">
        <v>413</v>
      </c>
      <c r="K12" s="46" t="s">
        <v>415</v>
      </c>
      <c r="L12" s="46" t="s">
        <v>312</v>
      </c>
      <c r="M12" s="46" t="s">
        <v>303</v>
      </c>
      <c r="N12" s="46" t="s">
        <v>304</v>
      </c>
      <c r="O12" s="46" t="s">
        <v>412</v>
      </c>
      <c r="P12" s="46" t="s">
        <v>306</v>
      </c>
      <c r="Q12" s="54" t="s">
        <v>307</v>
      </c>
      <c r="R12" s="46">
        <v>133</v>
      </c>
      <c r="S12" s="46">
        <v>110</v>
      </c>
      <c r="T12" s="46">
        <v>2</v>
      </c>
      <c r="U12" s="46">
        <v>18</v>
      </c>
      <c r="V12" s="46">
        <v>46000</v>
      </c>
      <c r="W12" s="46" t="s">
        <v>267</v>
      </c>
      <c r="X12" s="46" t="s">
        <v>309</v>
      </c>
      <c r="Y12" s="46" t="s">
        <v>309</v>
      </c>
    </row>
    <row r="13" spans="1:25">
      <c r="A13" s="46">
        <v>46011</v>
      </c>
      <c r="B13" s="46">
        <v>46000</v>
      </c>
      <c r="C13" s="46" t="s">
        <v>410</v>
      </c>
      <c r="D13" s="46">
        <v>1</v>
      </c>
      <c r="E13" s="46">
        <v>4</v>
      </c>
      <c r="F13" s="46">
        <v>20</v>
      </c>
      <c r="G13" s="46">
        <v>2</v>
      </c>
      <c r="H13" s="46">
        <v>2</v>
      </c>
      <c r="I13" s="46">
        <v>242.00000000000003</v>
      </c>
      <c r="J13" s="46" t="s">
        <v>413</v>
      </c>
      <c r="K13" s="46" t="s">
        <v>415</v>
      </c>
      <c r="L13" s="46" t="s">
        <v>312</v>
      </c>
      <c r="M13" s="46" t="s">
        <v>303</v>
      </c>
      <c r="N13" s="46" t="s">
        <v>304</v>
      </c>
      <c r="O13" s="46" t="s">
        <v>412</v>
      </c>
      <c r="P13" s="46" t="s">
        <v>306</v>
      </c>
      <c r="Q13" s="54" t="s">
        <v>307</v>
      </c>
      <c r="R13" s="46">
        <v>140</v>
      </c>
      <c r="S13" s="46">
        <v>110</v>
      </c>
      <c r="T13" s="46">
        <v>2</v>
      </c>
      <c r="U13" s="46">
        <v>18</v>
      </c>
      <c r="V13" s="46">
        <v>46000</v>
      </c>
      <c r="W13" s="46" t="s">
        <v>267</v>
      </c>
      <c r="X13" s="46" t="s">
        <v>309</v>
      </c>
      <c r="Y13" s="46" t="s">
        <v>309</v>
      </c>
    </row>
    <row r="14" spans="1:25">
      <c r="A14" s="46">
        <v>46012</v>
      </c>
      <c r="B14" s="46">
        <v>46000</v>
      </c>
      <c r="C14" s="46" t="s">
        <v>410</v>
      </c>
      <c r="D14" s="46">
        <v>1</v>
      </c>
      <c r="E14" s="46">
        <v>5</v>
      </c>
      <c r="F14" s="46">
        <v>30</v>
      </c>
      <c r="G14" s="46">
        <v>2</v>
      </c>
      <c r="H14" s="46">
        <v>3</v>
      </c>
      <c r="I14" s="46">
        <v>253.00000000000003</v>
      </c>
      <c r="J14" s="46" t="s">
        <v>413</v>
      </c>
      <c r="K14" s="46" t="s">
        <v>415</v>
      </c>
      <c r="L14" s="46" t="s">
        <v>312</v>
      </c>
      <c r="M14" s="46" t="s">
        <v>303</v>
      </c>
      <c r="N14" s="46" t="s">
        <v>304</v>
      </c>
      <c r="O14" s="46" t="s">
        <v>412</v>
      </c>
      <c r="P14" s="46" t="s">
        <v>306</v>
      </c>
      <c r="Q14" s="54" t="s">
        <v>307</v>
      </c>
      <c r="R14" s="46">
        <v>147</v>
      </c>
      <c r="S14" s="46">
        <v>110</v>
      </c>
      <c r="T14" s="46">
        <v>2</v>
      </c>
      <c r="U14" s="46">
        <v>18</v>
      </c>
      <c r="V14" s="46">
        <v>46000</v>
      </c>
      <c r="W14" s="46" t="s">
        <v>267</v>
      </c>
      <c r="X14" s="46" t="s">
        <v>309</v>
      </c>
      <c r="Y14" s="46" t="s">
        <v>309</v>
      </c>
    </row>
    <row r="15" spans="1:25">
      <c r="A15" s="46">
        <v>46013</v>
      </c>
      <c r="B15" s="46">
        <v>46000</v>
      </c>
      <c r="C15" s="46" t="s">
        <v>410</v>
      </c>
      <c r="D15" s="46">
        <v>2</v>
      </c>
      <c r="E15" s="46">
        <v>0</v>
      </c>
      <c r="F15" s="46">
        <v>30</v>
      </c>
      <c r="G15" s="46">
        <v>4</v>
      </c>
      <c r="H15" s="46">
        <v>3</v>
      </c>
      <c r="I15" s="46">
        <v>275</v>
      </c>
      <c r="J15" s="46" t="s">
        <v>413</v>
      </c>
      <c r="K15" s="46" t="s">
        <v>416</v>
      </c>
      <c r="L15" s="46" t="s">
        <v>312</v>
      </c>
      <c r="M15" s="46" t="s">
        <v>303</v>
      </c>
      <c r="N15" s="46" t="s">
        <v>304</v>
      </c>
      <c r="O15" s="46" t="s">
        <v>412</v>
      </c>
      <c r="P15" s="46" t="s">
        <v>306</v>
      </c>
      <c r="Q15" s="54" t="s">
        <v>307</v>
      </c>
      <c r="R15" s="46">
        <v>156</v>
      </c>
      <c r="S15" s="46">
        <v>140</v>
      </c>
      <c r="T15" s="46">
        <v>2</v>
      </c>
      <c r="U15" s="46">
        <v>18</v>
      </c>
      <c r="V15" s="46">
        <v>46000</v>
      </c>
      <c r="W15" s="46" t="s">
        <v>267</v>
      </c>
      <c r="X15" s="46" t="s">
        <v>309</v>
      </c>
      <c r="Y15" s="46" t="s">
        <v>309</v>
      </c>
    </row>
    <row r="16" spans="1:25">
      <c r="A16" s="46">
        <v>46014</v>
      </c>
      <c r="B16" s="46">
        <v>46000</v>
      </c>
      <c r="C16" s="46" t="s">
        <v>410</v>
      </c>
      <c r="D16" s="46">
        <v>2</v>
      </c>
      <c r="E16" s="46">
        <v>1</v>
      </c>
      <c r="F16" s="46">
        <v>30</v>
      </c>
      <c r="G16" s="46">
        <v>4</v>
      </c>
      <c r="H16" s="46">
        <v>3</v>
      </c>
      <c r="I16" s="46">
        <v>297</v>
      </c>
      <c r="J16" s="46" t="s">
        <v>413</v>
      </c>
      <c r="K16" s="46" t="s">
        <v>416</v>
      </c>
      <c r="L16" s="46" t="s">
        <v>312</v>
      </c>
      <c r="M16" s="46" t="s">
        <v>303</v>
      </c>
      <c r="N16" s="46" t="s">
        <v>304</v>
      </c>
      <c r="O16" s="46" t="s">
        <v>412</v>
      </c>
      <c r="P16" s="46" t="s">
        <v>306</v>
      </c>
      <c r="Q16" s="54" t="s">
        <v>307</v>
      </c>
      <c r="R16" s="46">
        <v>165</v>
      </c>
      <c r="S16" s="46">
        <v>140</v>
      </c>
      <c r="T16" s="46">
        <v>2</v>
      </c>
      <c r="U16" s="46">
        <v>18</v>
      </c>
      <c r="V16" s="46">
        <v>46000</v>
      </c>
      <c r="W16" s="46" t="s">
        <v>267</v>
      </c>
      <c r="X16" s="46" t="s">
        <v>309</v>
      </c>
      <c r="Y16" s="46" t="s">
        <v>309</v>
      </c>
    </row>
    <row r="17" spans="1:25">
      <c r="A17" s="46">
        <v>46015</v>
      </c>
      <c r="B17" s="46">
        <v>46000</v>
      </c>
      <c r="C17" s="46" t="s">
        <v>410</v>
      </c>
      <c r="D17" s="46">
        <v>2</v>
      </c>
      <c r="E17" s="46">
        <v>2</v>
      </c>
      <c r="F17" s="46">
        <v>30</v>
      </c>
      <c r="G17" s="46">
        <v>4</v>
      </c>
      <c r="H17" s="46">
        <v>3</v>
      </c>
      <c r="I17" s="46">
        <v>319</v>
      </c>
      <c r="J17" s="46" t="s">
        <v>413</v>
      </c>
      <c r="K17" s="46" t="s">
        <v>416</v>
      </c>
      <c r="L17" s="46" t="s">
        <v>312</v>
      </c>
      <c r="M17" s="46" t="s">
        <v>303</v>
      </c>
      <c r="N17" s="46" t="s">
        <v>304</v>
      </c>
      <c r="O17" s="46" t="s">
        <v>412</v>
      </c>
      <c r="P17" s="46" t="s">
        <v>306</v>
      </c>
      <c r="Q17" s="54" t="s">
        <v>307</v>
      </c>
      <c r="R17" s="46">
        <v>174</v>
      </c>
      <c r="S17" s="46">
        <v>140</v>
      </c>
      <c r="T17" s="46">
        <v>2</v>
      </c>
      <c r="U17" s="46">
        <v>18</v>
      </c>
      <c r="V17" s="46">
        <v>46000</v>
      </c>
      <c r="W17" s="46" t="s">
        <v>267</v>
      </c>
      <c r="X17" s="46" t="s">
        <v>309</v>
      </c>
      <c r="Y17" s="46" t="s">
        <v>309</v>
      </c>
    </row>
    <row r="18" spans="1:25">
      <c r="A18" s="46">
        <v>46016</v>
      </c>
      <c r="B18" s="46">
        <v>46000</v>
      </c>
      <c r="C18" s="46" t="s">
        <v>410</v>
      </c>
      <c r="D18" s="46">
        <v>2</v>
      </c>
      <c r="E18" s="46">
        <v>3</v>
      </c>
      <c r="F18" s="46">
        <v>30</v>
      </c>
      <c r="G18" s="46">
        <v>4</v>
      </c>
      <c r="H18" s="46">
        <v>3</v>
      </c>
      <c r="I18" s="46">
        <v>341</v>
      </c>
      <c r="J18" s="46" t="s">
        <v>413</v>
      </c>
      <c r="K18" s="46" t="s">
        <v>416</v>
      </c>
      <c r="L18" s="46" t="s">
        <v>312</v>
      </c>
      <c r="M18" s="46" t="s">
        <v>303</v>
      </c>
      <c r="N18" s="46" t="s">
        <v>304</v>
      </c>
      <c r="O18" s="46" t="s">
        <v>412</v>
      </c>
      <c r="P18" s="46" t="s">
        <v>306</v>
      </c>
      <c r="Q18" s="54" t="s">
        <v>307</v>
      </c>
      <c r="R18" s="46">
        <v>183</v>
      </c>
      <c r="S18" s="46">
        <v>140</v>
      </c>
      <c r="T18" s="46">
        <v>2</v>
      </c>
      <c r="U18" s="46">
        <v>17</v>
      </c>
      <c r="V18" s="46">
        <v>46000</v>
      </c>
      <c r="W18" s="46" t="s">
        <v>267</v>
      </c>
      <c r="X18" s="46" t="s">
        <v>309</v>
      </c>
      <c r="Y18" s="46" t="s">
        <v>309</v>
      </c>
    </row>
    <row r="19" spans="1:25">
      <c r="A19" s="46">
        <v>46017</v>
      </c>
      <c r="B19" s="46">
        <v>46000</v>
      </c>
      <c r="C19" s="46" t="s">
        <v>410</v>
      </c>
      <c r="D19" s="46">
        <v>2</v>
      </c>
      <c r="E19" s="46">
        <v>4</v>
      </c>
      <c r="F19" s="46">
        <v>30</v>
      </c>
      <c r="G19" s="46">
        <v>4</v>
      </c>
      <c r="H19" s="46">
        <v>3</v>
      </c>
      <c r="I19" s="46">
        <v>363.00000000000006</v>
      </c>
      <c r="J19" s="46" t="s">
        <v>413</v>
      </c>
      <c r="K19" s="46" t="s">
        <v>416</v>
      </c>
      <c r="L19" s="46" t="s">
        <v>312</v>
      </c>
      <c r="M19" s="46" t="s">
        <v>303</v>
      </c>
      <c r="N19" s="46" t="s">
        <v>304</v>
      </c>
      <c r="O19" s="46" t="s">
        <v>412</v>
      </c>
      <c r="P19" s="46" t="s">
        <v>306</v>
      </c>
      <c r="Q19" s="54" t="s">
        <v>307</v>
      </c>
      <c r="R19" s="46">
        <v>192</v>
      </c>
      <c r="S19" s="46">
        <v>140</v>
      </c>
      <c r="T19" s="46">
        <v>2</v>
      </c>
      <c r="U19" s="46">
        <v>17</v>
      </c>
      <c r="V19" s="46">
        <v>46000</v>
      </c>
      <c r="W19" s="46" t="s">
        <v>267</v>
      </c>
      <c r="X19" s="46" t="s">
        <v>309</v>
      </c>
      <c r="Y19" s="46" t="s">
        <v>309</v>
      </c>
    </row>
    <row r="20" spans="1:25">
      <c r="A20" s="46">
        <v>46018</v>
      </c>
      <c r="B20" s="46">
        <v>46000</v>
      </c>
      <c r="C20" s="46" t="s">
        <v>410</v>
      </c>
      <c r="D20" s="46">
        <v>2</v>
      </c>
      <c r="E20" s="46">
        <v>5</v>
      </c>
      <c r="F20" s="46">
        <v>50</v>
      </c>
      <c r="G20" s="46">
        <v>4</v>
      </c>
      <c r="H20" s="46">
        <v>4</v>
      </c>
      <c r="I20" s="46">
        <v>385.00000000000006</v>
      </c>
      <c r="J20" s="46" t="s">
        <v>413</v>
      </c>
      <c r="K20" s="46" t="s">
        <v>416</v>
      </c>
      <c r="L20" s="46" t="s">
        <v>312</v>
      </c>
      <c r="M20" s="46" t="s">
        <v>303</v>
      </c>
      <c r="N20" s="46" t="s">
        <v>304</v>
      </c>
      <c r="O20" s="46" t="s">
        <v>412</v>
      </c>
      <c r="P20" s="46" t="s">
        <v>306</v>
      </c>
      <c r="Q20" s="54" t="s">
        <v>307</v>
      </c>
      <c r="R20" s="46">
        <v>201</v>
      </c>
      <c r="S20" s="46">
        <v>140</v>
      </c>
      <c r="T20" s="46">
        <v>2</v>
      </c>
      <c r="U20" s="46">
        <v>17</v>
      </c>
      <c r="V20" s="46">
        <v>46000</v>
      </c>
      <c r="W20" s="46" t="s">
        <v>267</v>
      </c>
      <c r="X20" s="46" t="s">
        <v>309</v>
      </c>
      <c r="Y20" s="46" t="s">
        <v>309</v>
      </c>
    </row>
    <row r="21" spans="1:25">
      <c r="A21" s="46">
        <v>46019</v>
      </c>
      <c r="B21" s="46">
        <v>46000</v>
      </c>
      <c r="C21" s="46" t="s">
        <v>410</v>
      </c>
      <c r="D21" s="46">
        <v>3</v>
      </c>
      <c r="E21" s="46">
        <v>0</v>
      </c>
      <c r="F21" s="46">
        <v>50</v>
      </c>
      <c r="G21" s="46">
        <v>8</v>
      </c>
      <c r="H21" s="46">
        <v>4</v>
      </c>
      <c r="I21" s="46">
        <v>418.00000000000006</v>
      </c>
      <c r="J21" s="46" t="s">
        <v>413</v>
      </c>
      <c r="K21" s="46" t="s">
        <v>417</v>
      </c>
      <c r="L21" s="46" t="s">
        <v>312</v>
      </c>
      <c r="M21" s="46" t="s">
        <v>303</v>
      </c>
      <c r="N21" s="46" t="s">
        <v>304</v>
      </c>
      <c r="O21" s="46" t="s">
        <v>412</v>
      </c>
      <c r="P21" s="46" t="s">
        <v>306</v>
      </c>
      <c r="Q21" s="54" t="s">
        <v>307</v>
      </c>
      <c r="R21" s="46">
        <v>212</v>
      </c>
      <c r="S21" s="46">
        <v>180</v>
      </c>
      <c r="T21" s="46">
        <v>2.5</v>
      </c>
      <c r="U21" s="46">
        <v>17</v>
      </c>
      <c r="V21" s="46">
        <v>46000</v>
      </c>
      <c r="W21" s="46" t="s">
        <v>267</v>
      </c>
      <c r="X21" s="46" t="s">
        <v>309</v>
      </c>
      <c r="Y21" s="46" t="s">
        <v>309</v>
      </c>
    </row>
    <row r="22" spans="1:25">
      <c r="A22" s="46">
        <v>46020</v>
      </c>
      <c r="B22" s="46">
        <v>46000</v>
      </c>
      <c r="C22" s="46" t="s">
        <v>410</v>
      </c>
      <c r="D22" s="46">
        <v>3</v>
      </c>
      <c r="E22" s="46">
        <v>1</v>
      </c>
      <c r="F22" s="46">
        <v>50</v>
      </c>
      <c r="G22" s="46">
        <v>8</v>
      </c>
      <c r="H22" s="46">
        <v>4</v>
      </c>
      <c r="I22" s="46">
        <v>451.00000000000006</v>
      </c>
      <c r="J22" s="46" t="s">
        <v>413</v>
      </c>
      <c r="K22" s="46" t="s">
        <v>417</v>
      </c>
      <c r="L22" s="46" t="s">
        <v>312</v>
      </c>
      <c r="M22" s="46" t="s">
        <v>303</v>
      </c>
      <c r="N22" s="46" t="s">
        <v>304</v>
      </c>
      <c r="O22" s="46" t="s">
        <v>412</v>
      </c>
      <c r="P22" s="46" t="s">
        <v>306</v>
      </c>
      <c r="Q22" s="54" t="s">
        <v>307</v>
      </c>
      <c r="R22" s="46">
        <v>223</v>
      </c>
      <c r="S22" s="46">
        <v>180</v>
      </c>
      <c r="T22" s="46">
        <v>2.5</v>
      </c>
      <c r="U22" s="46">
        <v>17</v>
      </c>
      <c r="V22" s="46">
        <v>46000</v>
      </c>
      <c r="W22" s="46" t="s">
        <v>267</v>
      </c>
      <c r="X22" s="46" t="s">
        <v>309</v>
      </c>
      <c r="Y22" s="46" t="s">
        <v>309</v>
      </c>
    </row>
    <row r="23" spans="1:25">
      <c r="A23" s="46">
        <v>46021</v>
      </c>
      <c r="B23" s="46">
        <v>46000</v>
      </c>
      <c r="C23" s="46" t="s">
        <v>410</v>
      </c>
      <c r="D23" s="46">
        <v>3</v>
      </c>
      <c r="E23" s="46">
        <v>2</v>
      </c>
      <c r="F23" s="46">
        <v>50</v>
      </c>
      <c r="G23" s="46">
        <v>8</v>
      </c>
      <c r="H23" s="46">
        <v>4</v>
      </c>
      <c r="I23" s="46">
        <v>484.00000000000006</v>
      </c>
      <c r="J23" s="46" t="s">
        <v>413</v>
      </c>
      <c r="K23" s="46" t="s">
        <v>417</v>
      </c>
      <c r="L23" s="46" t="s">
        <v>312</v>
      </c>
      <c r="M23" s="46" t="s">
        <v>303</v>
      </c>
      <c r="N23" s="46" t="s">
        <v>304</v>
      </c>
      <c r="O23" s="46" t="s">
        <v>412</v>
      </c>
      <c r="P23" s="46" t="s">
        <v>306</v>
      </c>
      <c r="Q23" s="54" t="s">
        <v>307</v>
      </c>
      <c r="R23" s="46">
        <v>234</v>
      </c>
      <c r="S23" s="46">
        <v>180</v>
      </c>
      <c r="T23" s="46">
        <v>2.5</v>
      </c>
      <c r="U23" s="46">
        <v>16</v>
      </c>
      <c r="V23" s="46">
        <v>46000</v>
      </c>
      <c r="W23" s="46" t="s">
        <v>267</v>
      </c>
      <c r="X23" s="46" t="s">
        <v>309</v>
      </c>
      <c r="Y23" s="46" t="s">
        <v>309</v>
      </c>
    </row>
    <row r="24" spans="1:25">
      <c r="A24" s="46">
        <v>46022</v>
      </c>
      <c r="B24" s="46">
        <v>46000</v>
      </c>
      <c r="C24" s="46" t="s">
        <v>410</v>
      </c>
      <c r="D24" s="46">
        <v>3</v>
      </c>
      <c r="E24" s="46">
        <v>3</v>
      </c>
      <c r="F24" s="46">
        <v>50</v>
      </c>
      <c r="G24" s="46">
        <v>8</v>
      </c>
      <c r="H24" s="46">
        <v>4</v>
      </c>
      <c r="I24" s="46">
        <v>517</v>
      </c>
      <c r="J24" s="46" t="s">
        <v>413</v>
      </c>
      <c r="K24" s="46" t="s">
        <v>417</v>
      </c>
      <c r="L24" s="46" t="s">
        <v>312</v>
      </c>
      <c r="M24" s="46" t="s">
        <v>303</v>
      </c>
      <c r="N24" s="46" t="s">
        <v>304</v>
      </c>
      <c r="O24" s="46" t="s">
        <v>412</v>
      </c>
      <c r="P24" s="46" t="s">
        <v>306</v>
      </c>
      <c r="Q24" s="54" t="s">
        <v>307</v>
      </c>
      <c r="R24" s="46">
        <v>245</v>
      </c>
      <c r="S24" s="46">
        <v>180</v>
      </c>
      <c r="T24" s="46">
        <v>2.5</v>
      </c>
      <c r="U24" s="46">
        <v>16</v>
      </c>
      <c r="V24" s="46">
        <v>46000</v>
      </c>
      <c r="W24" s="46" t="s">
        <v>267</v>
      </c>
      <c r="X24" s="46" t="s">
        <v>309</v>
      </c>
      <c r="Y24" s="46" t="s">
        <v>309</v>
      </c>
    </row>
    <row r="25" spans="1:25">
      <c r="A25" s="46">
        <v>46023</v>
      </c>
      <c r="B25" s="46">
        <v>46000</v>
      </c>
      <c r="C25" s="46" t="s">
        <v>410</v>
      </c>
      <c r="D25" s="46">
        <v>3</v>
      </c>
      <c r="E25" s="46">
        <v>4</v>
      </c>
      <c r="F25" s="46">
        <v>50</v>
      </c>
      <c r="G25" s="46">
        <v>8</v>
      </c>
      <c r="H25" s="46">
        <v>4</v>
      </c>
      <c r="I25" s="46">
        <v>550</v>
      </c>
      <c r="J25" s="46" t="s">
        <v>413</v>
      </c>
      <c r="K25" s="46" t="s">
        <v>417</v>
      </c>
      <c r="L25" s="46" t="s">
        <v>312</v>
      </c>
      <c r="M25" s="46" t="s">
        <v>303</v>
      </c>
      <c r="N25" s="46" t="s">
        <v>304</v>
      </c>
      <c r="O25" s="46" t="s">
        <v>412</v>
      </c>
      <c r="P25" s="46" t="s">
        <v>306</v>
      </c>
      <c r="Q25" s="54" t="s">
        <v>307</v>
      </c>
      <c r="R25" s="46">
        <v>256</v>
      </c>
      <c r="S25" s="46">
        <v>180</v>
      </c>
      <c r="T25" s="46">
        <v>2.5</v>
      </c>
      <c r="U25" s="46">
        <v>16</v>
      </c>
      <c r="V25" s="46">
        <v>46000</v>
      </c>
      <c r="W25" s="46" t="s">
        <v>267</v>
      </c>
      <c r="X25" s="46" t="s">
        <v>309</v>
      </c>
      <c r="Y25" s="46" t="s">
        <v>309</v>
      </c>
    </row>
    <row r="26" spans="1:25">
      <c r="A26" s="46">
        <v>46024</v>
      </c>
      <c r="B26" s="46">
        <v>46000</v>
      </c>
      <c r="C26" s="46" t="s">
        <v>410</v>
      </c>
      <c r="D26" s="46">
        <v>3</v>
      </c>
      <c r="E26" s="46">
        <v>5</v>
      </c>
      <c r="F26" s="46">
        <v>120</v>
      </c>
      <c r="G26" s="46">
        <v>8</v>
      </c>
      <c r="H26" s="46">
        <v>5</v>
      </c>
      <c r="I26" s="46">
        <v>583</v>
      </c>
      <c r="J26" s="46" t="s">
        <v>413</v>
      </c>
      <c r="K26" s="46" t="s">
        <v>417</v>
      </c>
      <c r="L26" s="46" t="s">
        <v>312</v>
      </c>
      <c r="M26" s="46" t="s">
        <v>303</v>
      </c>
      <c r="N26" s="46" t="s">
        <v>304</v>
      </c>
      <c r="O26" s="46" t="s">
        <v>412</v>
      </c>
      <c r="P26" s="46" t="s">
        <v>306</v>
      </c>
      <c r="Q26" s="54" t="s">
        <v>307</v>
      </c>
      <c r="R26" s="46">
        <v>267</v>
      </c>
      <c r="S26" s="46">
        <v>180</v>
      </c>
      <c r="T26" s="46">
        <v>3</v>
      </c>
      <c r="U26" s="46">
        <v>16</v>
      </c>
      <c r="V26" s="46">
        <v>46000</v>
      </c>
      <c r="W26" s="46" t="s">
        <v>267</v>
      </c>
      <c r="X26" s="46" t="s">
        <v>309</v>
      </c>
      <c r="Y26" s="46" t="s">
        <v>309</v>
      </c>
    </row>
    <row r="27" spans="1:25">
      <c r="A27" s="46">
        <v>46025</v>
      </c>
      <c r="B27" s="46">
        <v>46000</v>
      </c>
      <c r="C27" s="46" t="s">
        <v>410</v>
      </c>
      <c r="D27" s="46">
        <v>4</v>
      </c>
      <c r="E27" s="46">
        <v>0</v>
      </c>
      <c r="F27" s="46">
        <v>200</v>
      </c>
      <c r="G27" s="46">
        <v>24</v>
      </c>
      <c r="H27" s="46">
        <v>5</v>
      </c>
      <c r="I27" s="46">
        <v>627</v>
      </c>
      <c r="J27" s="46" t="s">
        <v>413</v>
      </c>
      <c r="K27" s="46" t="s">
        <v>418</v>
      </c>
      <c r="L27" s="46" t="s">
        <v>312</v>
      </c>
      <c r="M27" s="46" t="s">
        <v>303</v>
      </c>
      <c r="N27" s="46" t="s">
        <v>304</v>
      </c>
      <c r="O27" s="46" t="s">
        <v>412</v>
      </c>
      <c r="P27" s="46" t="s">
        <v>306</v>
      </c>
      <c r="Q27" s="54" t="s">
        <v>307</v>
      </c>
      <c r="R27" s="46">
        <v>280</v>
      </c>
      <c r="S27" s="46">
        <v>220</v>
      </c>
      <c r="T27" s="46">
        <v>3</v>
      </c>
      <c r="U27" s="46">
        <v>16</v>
      </c>
      <c r="V27" s="46">
        <v>46000</v>
      </c>
      <c r="W27" s="46" t="s">
        <v>267</v>
      </c>
      <c r="X27" s="46" t="s">
        <v>309</v>
      </c>
      <c r="Y27" s="46" t="s">
        <v>309</v>
      </c>
    </row>
    <row r="28" spans="1:25">
      <c r="A28" s="46">
        <v>46026</v>
      </c>
      <c r="B28" s="46">
        <v>46000</v>
      </c>
      <c r="C28" s="46" t="s">
        <v>410</v>
      </c>
      <c r="D28" s="46">
        <v>4</v>
      </c>
      <c r="E28" s="46">
        <v>1</v>
      </c>
      <c r="F28" s="46">
        <v>280</v>
      </c>
      <c r="G28" s="46">
        <v>24</v>
      </c>
      <c r="H28" s="46">
        <v>5</v>
      </c>
      <c r="I28" s="46">
        <v>671</v>
      </c>
      <c r="J28" s="46" t="s">
        <v>413</v>
      </c>
      <c r="K28" s="46" t="s">
        <v>418</v>
      </c>
      <c r="L28" s="46" t="s">
        <v>312</v>
      </c>
      <c r="M28" s="46" t="s">
        <v>303</v>
      </c>
      <c r="N28" s="46" t="s">
        <v>304</v>
      </c>
      <c r="O28" s="46" t="s">
        <v>412</v>
      </c>
      <c r="P28" s="46" t="s">
        <v>306</v>
      </c>
      <c r="Q28" s="54" t="s">
        <v>307</v>
      </c>
      <c r="R28" s="46">
        <v>293</v>
      </c>
      <c r="S28" s="46">
        <v>220</v>
      </c>
      <c r="T28" s="46">
        <v>3</v>
      </c>
      <c r="U28" s="46">
        <v>15</v>
      </c>
      <c r="V28" s="46">
        <v>46000</v>
      </c>
      <c r="W28" s="46" t="s">
        <v>267</v>
      </c>
      <c r="X28" s="46" t="s">
        <v>309</v>
      </c>
      <c r="Y28" s="46" t="s">
        <v>309</v>
      </c>
    </row>
    <row r="29" spans="1:25">
      <c r="A29" s="46">
        <v>46027</v>
      </c>
      <c r="B29" s="46">
        <v>46000</v>
      </c>
      <c r="C29" s="46" t="s">
        <v>410</v>
      </c>
      <c r="D29" s="46">
        <v>4</v>
      </c>
      <c r="E29" s="46">
        <v>2</v>
      </c>
      <c r="F29" s="46">
        <v>400</v>
      </c>
      <c r="G29" s="46">
        <v>24</v>
      </c>
      <c r="H29" s="46">
        <v>5</v>
      </c>
      <c r="I29" s="46">
        <v>715.00000000000011</v>
      </c>
      <c r="J29" s="46" t="s">
        <v>413</v>
      </c>
      <c r="K29" s="46" t="s">
        <v>418</v>
      </c>
      <c r="L29" s="46" t="s">
        <v>312</v>
      </c>
      <c r="M29" s="46" t="s">
        <v>303</v>
      </c>
      <c r="N29" s="46" t="s">
        <v>304</v>
      </c>
      <c r="O29" s="46" t="s">
        <v>412</v>
      </c>
      <c r="P29" s="46" t="s">
        <v>306</v>
      </c>
      <c r="Q29" s="54" t="s">
        <v>307</v>
      </c>
      <c r="R29" s="46">
        <v>306</v>
      </c>
      <c r="S29" s="46">
        <v>220</v>
      </c>
      <c r="T29" s="46">
        <v>3</v>
      </c>
      <c r="U29" s="46">
        <v>15</v>
      </c>
      <c r="V29" s="46">
        <v>46000</v>
      </c>
      <c r="W29" s="46" t="s">
        <v>267</v>
      </c>
      <c r="X29" s="46" t="s">
        <v>309</v>
      </c>
      <c r="Y29" s="46" t="s">
        <v>309</v>
      </c>
    </row>
    <row r="30" spans="1:25">
      <c r="A30" s="46">
        <v>46028</v>
      </c>
      <c r="B30" s="46">
        <v>46000</v>
      </c>
      <c r="C30" s="46" t="s">
        <v>410</v>
      </c>
      <c r="D30" s="46">
        <v>4</v>
      </c>
      <c r="E30" s="46">
        <v>3</v>
      </c>
      <c r="F30" s="46">
        <v>600</v>
      </c>
      <c r="G30" s="46">
        <v>24</v>
      </c>
      <c r="H30" s="46">
        <v>5</v>
      </c>
      <c r="I30" s="46">
        <v>759.00000000000011</v>
      </c>
      <c r="J30" s="46" t="s">
        <v>413</v>
      </c>
      <c r="K30" s="46" t="s">
        <v>418</v>
      </c>
      <c r="L30" s="46" t="s">
        <v>312</v>
      </c>
      <c r="M30" s="46" t="s">
        <v>303</v>
      </c>
      <c r="N30" s="46" t="s">
        <v>304</v>
      </c>
      <c r="O30" s="46" t="s">
        <v>412</v>
      </c>
      <c r="P30" s="46" t="s">
        <v>306</v>
      </c>
      <c r="Q30" s="54" t="s">
        <v>307</v>
      </c>
      <c r="R30" s="46">
        <v>319</v>
      </c>
      <c r="S30" s="46">
        <v>220</v>
      </c>
      <c r="T30" s="46">
        <v>3</v>
      </c>
      <c r="U30" s="46">
        <v>15</v>
      </c>
      <c r="V30" s="46">
        <v>46000</v>
      </c>
      <c r="W30" s="46" t="s">
        <v>267</v>
      </c>
      <c r="X30" s="46" t="s">
        <v>309</v>
      </c>
      <c r="Y30" s="46" t="s">
        <v>309</v>
      </c>
    </row>
    <row r="31" spans="1:25">
      <c r="A31" s="46">
        <v>46029</v>
      </c>
      <c r="B31" s="46">
        <v>46000</v>
      </c>
      <c r="C31" s="46" t="s">
        <v>410</v>
      </c>
      <c r="D31" s="46">
        <v>4</v>
      </c>
      <c r="E31" s="46">
        <v>4</v>
      </c>
      <c r="F31" s="46">
        <v>900</v>
      </c>
      <c r="G31" s="46">
        <v>24</v>
      </c>
      <c r="H31" s="46">
        <v>5</v>
      </c>
      <c r="I31" s="46">
        <v>803.00000000000011</v>
      </c>
      <c r="J31" s="46" t="s">
        <v>413</v>
      </c>
      <c r="K31" s="46" t="s">
        <v>418</v>
      </c>
      <c r="L31" s="46" t="s">
        <v>312</v>
      </c>
      <c r="M31" s="46" t="s">
        <v>303</v>
      </c>
      <c r="N31" s="46" t="s">
        <v>304</v>
      </c>
      <c r="O31" s="46" t="s">
        <v>412</v>
      </c>
      <c r="P31" s="46" t="s">
        <v>306</v>
      </c>
      <c r="Q31" s="54" t="s">
        <v>307</v>
      </c>
      <c r="R31" s="46">
        <v>332</v>
      </c>
      <c r="S31" s="46">
        <v>220</v>
      </c>
      <c r="T31" s="46">
        <v>3</v>
      </c>
      <c r="U31" s="46">
        <v>15</v>
      </c>
      <c r="V31" s="46">
        <v>46000</v>
      </c>
      <c r="W31" s="46" t="s">
        <v>267</v>
      </c>
      <c r="X31" s="46" t="s">
        <v>309</v>
      </c>
      <c r="Y31" s="46" t="s">
        <v>309</v>
      </c>
    </row>
    <row r="32" spans="1:25">
      <c r="A32" s="46">
        <v>46030</v>
      </c>
      <c r="B32" s="46">
        <v>46000</v>
      </c>
      <c r="C32" s="46" t="s">
        <v>410</v>
      </c>
      <c r="D32" s="46">
        <v>4</v>
      </c>
      <c r="E32" s="46">
        <v>5</v>
      </c>
      <c r="F32" s="46">
        <v>1300</v>
      </c>
      <c r="G32" s="46">
        <v>48</v>
      </c>
      <c r="H32" s="46">
        <v>6</v>
      </c>
      <c r="I32" s="46">
        <v>847.00000000000011</v>
      </c>
      <c r="J32" s="46" t="s">
        <v>413</v>
      </c>
      <c r="K32" s="46" t="s">
        <v>418</v>
      </c>
      <c r="L32" s="46" t="s">
        <v>312</v>
      </c>
      <c r="M32" s="46" t="s">
        <v>303</v>
      </c>
      <c r="N32" s="46" t="s">
        <v>304</v>
      </c>
      <c r="O32" s="46" t="s">
        <v>412</v>
      </c>
      <c r="P32" s="46" t="s">
        <v>306</v>
      </c>
      <c r="Q32" s="54" t="s">
        <v>307</v>
      </c>
      <c r="R32" s="46">
        <v>345</v>
      </c>
      <c r="S32" s="46">
        <v>220</v>
      </c>
      <c r="T32" s="46">
        <v>3</v>
      </c>
      <c r="U32" s="46">
        <v>15</v>
      </c>
      <c r="V32" s="46">
        <v>46000</v>
      </c>
      <c r="W32" s="46" t="s">
        <v>267</v>
      </c>
      <c r="X32" s="46" t="s">
        <v>309</v>
      </c>
      <c r="Y32" s="46" t="s">
        <v>309</v>
      </c>
    </row>
    <row r="33" spans="1:25">
      <c r="A33" s="46">
        <v>46031</v>
      </c>
      <c r="B33" s="46">
        <v>46000</v>
      </c>
      <c r="C33" s="46" t="s">
        <v>410</v>
      </c>
      <c r="D33" s="46">
        <v>5</v>
      </c>
      <c r="E33" s="46">
        <v>0</v>
      </c>
      <c r="F33" s="46">
        <v>1800</v>
      </c>
      <c r="G33" s="46">
        <v>48</v>
      </c>
      <c r="H33" s="46">
        <v>6</v>
      </c>
      <c r="I33" s="46">
        <v>913.00000000000011</v>
      </c>
      <c r="J33" s="46" t="s">
        <v>413</v>
      </c>
      <c r="K33" s="46" t="s">
        <v>419</v>
      </c>
      <c r="L33" s="46" t="s">
        <v>312</v>
      </c>
      <c r="M33" s="46" t="s">
        <v>303</v>
      </c>
      <c r="N33" s="46" t="s">
        <v>304</v>
      </c>
      <c r="O33" s="46" t="s">
        <v>412</v>
      </c>
      <c r="P33" s="46" t="s">
        <v>306</v>
      </c>
      <c r="Q33" s="54" t="s">
        <v>307</v>
      </c>
      <c r="R33" s="46">
        <v>360</v>
      </c>
      <c r="S33" s="46">
        <v>250</v>
      </c>
      <c r="T33" s="46">
        <v>3.5</v>
      </c>
      <c r="U33" s="46">
        <v>14</v>
      </c>
      <c r="V33" s="46">
        <v>46000</v>
      </c>
      <c r="W33" s="46" t="s">
        <v>267</v>
      </c>
      <c r="X33" s="46" t="s">
        <v>309</v>
      </c>
      <c r="Y33" s="46" t="s">
        <v>309</v>
      </c>
    </row>
    <row r="34" spans="1:25">
      <c r="A34" s="46">
        <v>46032</v>
      </c>
      <c r="B34" s="46">
        <v>46000</v>
      </c>
      <c r="C34" s="46" t="s">
        <v>410</v>
      </c>
      <c r="D34" s="46">
        <v>5</v>
      </c>
      <c r="E34" s="46">
        <v>1</v>
      </c>
      <c r="F34" s="46">
        <v>2400</v>
      </c>
      <c r="G34" s="46">
        <v>48</v>
      </c>
      <c r="H34" s="46">
        <v>6</v>
      </c>
      <c r="I34" s="46">
        <v>979.00000000000011</v>
      </c>
      <c r="J34" s="46" t="s">
        <v>413</v>
      </c>
      <c r="K34" s="46" t="s">
        <v>419</v>
      </c>
      <c r="L34" s="46" t="s">
        <v>312</v>
      </c>
      <c r="M34" s="46" t="s">
        <v>303</v>
      </c>
      <c r="N34" s="46" t="s">
        <v>304</v>
      </c>
      <c r="O34" s="46" t="s">
        <v>412</v>
      </c>
      <c r="P34" s="46" t="s">
        <v>306</v>
      </c>
      <c r="Q34" s="54" t="s">
        <v>307</v>
      </c>
      <c r="R34" s="46">
        <v>375</v>
      </c>
      <c r="S34" s="46">
        <v>250</v>
      </c>
      <c r="T34" s="46">
        <v>3.5</v>
      </c>
      <c r="U34" s="46">
        <v>14</v>
      </c>
      <c r="V34" s="46">
        <v>46000</v>
      </c>
      <c r="W34" s="46" t="s">
        <v>267</v>
      </c>
      <c r="X34" s="46" t="s">
        <v>309</v>
      </c>
      <c r="Y34" s="46" t="s">
        <v>309</v>
      </c>
    </row>
    <row r="35" spans="1:25">
      <c r="A35" s="46">
        <v>46033</v>
      </c>
      <c r="B35" s="46">
        <v>46000</v>
      </c>
      <c r="C35" s="46" t="s">
        <v>410</v>
      </c>
      <c r="D35" s="46">
        <v>5</v>
      </c>
      <c r="E35" s="46">
        <v>2</v>
      </c>
      <c r="F35" s="46">
        <v>3100</v>
      </c>
      <c r="G35" s="46">
        <v>48</v>
      </c>
      <c r="H35" s="46">
        <v>6</v>
      </c>
      <c r="I35" s="46">
        <v>1045</v>
      </c>
      <c r="J35" s="46" t="s">
        <v>413</v>
      </c>
      <c r="K35" s="46" t="s">
        <v>419</v>
      </c>
      <c r="L35" s="46" t="s">
        <v>312</v>
      </c>
      <c r="M35" s="46" t="s">
        <v>303</v>
      </c>
      <c r="N35" s="46" t="s">
        <v>304</v>
      </c>
      <c r="O35" s="46" t="s">
        <v>412</v>
      </c>
      <c r="P35" s="46" t="s">
        <v>306</v>
      </c>
      <c r="Q35" s="54" t="s">
        <v>307</v>
      </c>
      <c r="R35" s="46">
        <v>390</v>
      </c>
      <c r="S35" s="46">
        <v>250</v>
      </c>
      <c r="T35" s="46">
        <v>3.5</v>
      </c>
      <c r="U35" s="46">
        <v>13</v>
      </c>
      <c r="V35" s="46">
        <v>46000</v>
      </c>
      <c r="W35" s="46" t="s">
        <v>267</v>
      </c>
      <c r="X35" s="46" t="s">
        <v>309</v>
      </c>
      <c r="Y35" s="46" t="s">
        <v>309</v>
      </c>
    </row>
    <row r="36" spans="1:25">
      <c r="A36" s="46">
        <v>46034</v>
      </c>
      <c r="B36" s="46">
        <v>46000</v>
      </c>
      <c r="C36" s="46" t="s">
        <v>410</v>
      </c>
      <c r="D36" s="46">
        <v>5</v>
      </c>
      <c r="E36" s="46">
        <v>3</v>
      </c>
      <c r="F36" s="46">
        <v>4000</v>
      </c>
      <c r="G36" s="46">
        <v>48</v>
      </c>
      <c r="H36" s="46">
        <v>6</v>
      </c>
      <c r="I36" s="46">
        <v>1111</v>
      </c>
      <c r="J36" s="46" t="s">
        <v>413</v>
      </c>
      <c r="K36" s="46" t="s">
        <v>419</v>
      </c>
      <c r="L36" s="46" t="s">
        <v>312</v>
      </c>
      <c r="M36" s="46" t="s">
        <v>303</v>
      </c>
      <c r="N36" s="46" t="s">
        <v>304</v>
      </c>
      <c r="O36" s="46" t="s">
        <v>412</v>
      </c>
      <c r="P36" s="46" t="s">
        <v>306</v>
      </c>
      <c r="Q36" s="54" t="s">
        <v>307</v>
      </c>
      <c r="R36" s="46">
        <v>405</v>
      </c>
      <c r="S36" s="46">
        <v>250</v>
      </c>
      <c r="T36" s="46">
        <v>3.5</v>
      </c>
      <c r="U36" s="46">
        <v>13</v>
      </c>
      <c r="V36" s="46">
        <v>46000</v>
      </c>
      <c r="W36" s="46" t="s">
        <v>267</v>
      </c>
      <c r="X36" s="46" t="s">
        <v>309</v>
      </c>
      <c r="Y36" s="46" t="s">
        <v>309</v>
      </c>
    </row>
    <row r="37" spans="1:25">
      <c r="A37" s="46">
        <v>46035</v>
      </c>
      <c r="B37" s="46">
        <v>46000</v>
      </c>
      <c r="C37" s="46" t="s">
        <v>410</v>
      </c>
      <c r="D37" s="46">
        <v>5</v>
      </c>
      <c r="E37" s="46">
        <v>4</v>
      </c>
      <c r="F37" s="46">
        <v>5000</v>
      </c>
      <c r="G37" s="46">
        <v>48</v>
      </c>
      <c r="H37" s="46">
        <v>6</v>
      </c>
      <c r="I37" s="46">
        <v>1177</v>
      </c>
      <c r="J37" s="46" t="s">
        <v>413</v>
      </c>
      <c r="K37" s="46" t="s">
        <v>419</v>
      </c>
      <c r="L37" s="46" t="s">
        <v>312</v>
      </c>
      <c r="M37" s="46" t="s">
        <v>303</v>
      </c>
      <c r="N37" s="46" t="s">
        <v>304</v>
      </c>
      <c r="O37" s="46" t="s">
        <v>412</v>
      </c>
      <c r="P37" s="46" t="s">
        <v>306</v>
      </c>
      <c r="Q37" s="54" t="s">
        <v>307</v>
      </c>
      <c r="R37" s="46">
        <v>420</v>
      </c>
      <c r="S37" s="46">
        <v>250</v>
      </c>
      <c r="T37" s="46">
        <v>3.5</v>
      </c>
      <c r="U37" s="46">
        <v>12</v>
      </c>
      <c r="V37" s="46">
        <v>46000</v>
      </c>
      <c r="W37" s="46" t="s">
        <v>267</v>
      </c>
      <c r="X37" s="46" t="s">
        <v>309</v>
      </c>
      <c r="Y37" s="46" t="s">
        <v>309</v>
      </c>
    </row>
    <row r="38" spans="1:25">
      <c r="A38" s="46">
        <v>46036</v>
      </c>
      <c r="B38" s="46">
        <v>46000</v>
      </c>
      <c r="C38" s="46" t="s">
        <v>410</v>
      </c>
      <c r="D38" s="46">
        <v>5</v>
      </c>
      <c r="E38" s="46">
        <v>5</v>
      </c>
      <c r="F38" s="46">
        <v>0</v>
      </c>
      <c r="G38" s="46">
        <v>0</v>
      </c>
      <c r="H38" s="46">
        <v>6</v>
      </c>
      <c r="I38" s="46">
        <v>1243</v>
      </c>
      <c r="J38" s="46" t="s">
        <v>413</v>
      </c>
      <c r="K38" s="46" t="s">
        <v>419</v>
      </c>
      <c r="L38" s="46" t="s">
        <v>312</v>
      </c>
      <c r="M38" s="46" t="s">
        <v>303</v>
      </c>
      <c r="N38" s="46" t="s">
        <v>304</v>
      </c>
      <c r="O38" s="46" t="s">
        <v>412</v>
      </c>
      <c r="P38" s="46" t="s">
        <v>306</v>
      </c>
      <c r="Q38" s="54" t="s">
        <v>307</v>
      </c>
      <c r="R38" s="46">
        <v>435</v>
      </c>
      <c r="S38" s="46">
        <v>250</v>
      </c>
      <c r="T38" s="46">
        <v>3.5</v>
      </c>
      <c r="U38" s="46">
        <v>11</v>
      </c>
      <c r="V38" s="46">
        <v>46000</v>
      </c>
      <c r="W38" s="46" t="s">
        <v>267</v>
      </c>
      <c r="X38" s="46" t="s">
        <v>309</v>
      </c>
      <c r="Y38" s="46" t="s">
        <v>309</v>
      </c>
    </row>
    <row r="39" spans="1:25">
      <c r="A39" s="46">
        <v>46101</v>
      </c>
      <c r="B39" s="46">
        <v>46100</v>
      </c>
      <c r="C39" s="46" t="s">
        <v>410</v>
      </c>
      <c r="D39" s="46">
        <v>0</v>
      </c>
      <c r="E39" s="46">
        <v>0</v>
      </c>
      <c r="F39" s="46">
        <v>7</v>
      </c>
      <c r="G39" s="46">
        <v>1</v>
      </c>
      <c r="H39" s="46">
        <v>2</v>
      </c>
      <c r="I39" s="46">
        <v>113</v>
      </c>
      <c r="J39" s="46" t="s">
        <v>420</v>
      </c>
      <c r="K39" s="46" t="s">
        <v>421</v>
      </c>
      <c r="L39" s="46" t="s">
        <v>312</v>
      </c>
      <c r="M39" s="46" t="s">
        <v>303</v>
      </c>
      <c r="N39" s="46" t="s">
        <v>304</v>
      </c>
      <c r="O39" s="46" t="s">
        <v>412</v>
      </c>
      <c r="P39" s="46" t="s">
        <v>306</v>
      </c>
      <c r="Q39" s="54" t="s">
        <v>307</v>
      </c>
      <c r="R39" s="46">
        <v>124</v>
      </c>
      <c r="S39" s="46">
        <v>100</v>
      </c>
      <c r="T39" s="46">
        <v>2.5</v>
      </c>
      <c r="U39" s="46">
        <v>25</v>
      </c>
      <c r="V39" s="46">
        <v>46100</v>
      </c>
      <c r="W39" s="46" t="s">
        <v>267</v>
      </c>
      <c r="X39" s="46" t="s">
        <v>309</v>
      </c>
      <c r="Y39" s="46" t="s">
        <v>309</v>
      </c>
    </row>
    <row r="40" spans="1:25">
      <c r="A40" s="46">
        <v>46102</v>
      </c>
      <c r="B40" s="46">
        <v>46100</v>
      </c>
      <c r="C40" s="46" t="s">
        <v>410</v>
      </c>
      <c r="D40" s="46">
        <v>0</v>
      </c>
      <c r="E40" s="46">
        <v>1</v>
      </c>
      <c r="F40" s="46">
        <v>7</v>
      </c>
      <c r="G40" s="46">
        <v>1</v>
      </c>
      <c r="H40" s="46">
        <v>2</v>
      </c>
      <c r="I40" s="46">
        <v>119</v>
      </c>
      <c r="J40" s="46" t="s">
        <v>420</v>
      </c>
      <c r="K40" s="46" t="s">
        <v>421</v>
      </c>
      <c r="L40" s="46" t="s">
        <v>312</v>
      </c>
      <c r="M40" s="46" t="s">
        <v>303</v>
      </c>
      <c r="N40" s="46" t="s">
        <v>304</v>
      </c>
      <c r="O40" s="46" t="s">
        <v>412</v>
      </c>
      <c r="P40" s="46" t="s">
        <v>306</v>
      </c>
      <c r="Q40" s="54" t="s">
        <v>307</v>
      </c>
      <c r="R40" s="46">
        <v>128</v>
      </c>
      <c r="S40" s="46">
        <v>100</v>
      </c>
      <c r="T40" s="46">
        <v>2.5</v>
      </c>
      <c r="U40" s="46">
        <v>25</v>
      </c>
      <c r="V40" s="46">
        <v>46100</v>
      </c>
      <c r="W40" s="46" t="s">
        <v>267</v>
      </c>
      <c r="X40" s="46" t="s">
        <v>309</v>
      </c>
      <c r="Y40" s="46" t="s">
        <v>309</v>
      </c>
    </row>
    <row r="41" spans="1:25">
      <c r="A41" s="46">
        <v>46103</v>
      </c>
      <c r="B41" s="46">
        <v>46100</v>
      </c>
      <c r="C41" s="46" t="s">
        <v>410</v>
      </c>
      <c r="D41" s="46">
        <v>0</v>
      </c>
      <c r="E41" s="46">
        <v>2</v>
      </c>
      <c r="F41" s="46">
        <v>7</v>
      </c>
      <c r="G41" s="46">
        <v>1</v>
      </c>
      <c r="H41" s="46">
        <v>2</v>
      </c>
      <c r="I41" s="46">
        <v>123</v>
      </c>
      <c r="J41" s="46" t="s">
        <v>420</v>
      </c>
      <c r="K41" s="46" t="s">
        <v>421</v>
      </c>
      <c r="L41" s="46" t="s">
        <v>312</v>
      </c>
      <c r="M41" s="46" t="s">
        <v>303</v>
      </c>
      <c r="N41" s="46" t="s">
        <v>304</v>
      </c>
      <c r="O41" s="46" t="s">
        <v>412</v>
      </c>
      <c r="P41" s="46" t="s">
        <v>306</v>
      </c>
      <c r="Q41" s="54" t="s">
        <v>307</v>
      </c>
      <c r="R41" s="46">
        <v>132</v>
      </c>
      <c r="S41" s="46">
        <v>100</v>
      </c>
      <c r="T41" s="46">
        <v>2.5</v>
      </c>
      <c r="U41" s="46">
        <v>25</v>
      </c>
      <c r="V41" s="46">
        <v>46100</v>
      </c>
      <c r="W41" s="46" t="s">
        <v>267</v>
      </c>
      <c r="X41" s="46" t="s">
        <v>309</v>
      </c>
      <c r="Y41" s="46" t="s">
        <v>309</v>
      </c>
    </row>
    <row r="42" spans="1:25">
      <c r="A42" s="46">
        <v>46104</v>
      </c>
      <c r="B42" s="46">
        <v>46100</v>
      </c>
      <c r="C42" s="46" t="s">
        <v>410</v>
      </c>
      <c r="D42" s="46">
        <v>0</v>
      </c>
      <c r="E42" s="46">
        <v>3</v>
      </c>
      <c r="F42" s="46">
        <v>7</v>
      </c>
      <c r="G42" s="46">
        <v>1</v>
      </c>
      <c r="H42" s="46">
        <v>2</v>
      </c>
      <c r="I42" s="46">
        <v>128</v>
      </c>
      <c r="J42" s="46" t="s">
        <v>420</v>
      </c>
      <c r="K42" s="46" t="s">
        <v>421</v>
      </c>
      <c r="L42" s="46" t="s">
        <v>312</v>
      </c>
      <c r="M42" s="46" t="s">
        <v>303</v>
      </c>
      <c r="N42" s="46" t="s">
        <v>304</v>
      </c>
      <c r="O42" s="46" t="s">
        <v>412</v>
      </c>
      <c r="P42" s="46" t="s">
        <v>306</v>
      </c>
      <c r="Q42" s="54" t="s">
        <v>307</v>
      </c>
      <c r="R42" s="46">
        <v>136</v>
      </c>
      <c r="S42" s="46">
        <v>100</v>
      </c>
      <c r="T42" s="46">
        <v>2.5</v>
      </c>
      <c r="U42" s="46">
        <v>25</v>
      </c>
      <c r="V42" s="46">
        <v>46100</v>
      </c>
      <c r="W42" s="46" t="s">
        <v>267</v>
      </c>
      <c r="X42" s="46" t="s">
        <v>309</v>
      </c>
      <c r="Y42" s="46" t="s">
        <v>309</v>
      </c>
    </row>
    <row r="43" spans="1:25">
      <c r="A43" s="46">
        <v>46105</v>
      </c>
      <c r="B43" s="46">
        <v>46100</v>
      </c>
      <c r="C43" s="46" t="s">
        <v>410</v>
      </c>
      <c r="D43" s="46">
        <v>0</v>
      </c>
      <c r="E43" s="46">
        <v>4</v>
      </c>
      <c r="F43" s="46">
        <v>7</v>
      </c>
      <c r="G43" s="46">
        <v>1</v>
      </c>
      <c r="H43" s="46">
        <v>2</v>
      </c>
      <c r="I43" s="46">
        <v>132</v>
      </c>
      <c r="J43" s="46" t="s">
        <v>420</v>
      </c>
      <c r="K43" s="46" t="s">
        <v>421</v>
      </c>
      <c r="L43" s="46" t="s">
        <v>312</v>
      </c>
      <c r="M43" s="46" t="s">
        <v>303</v>
      </c>
      <c r="N43" s="46" t="s">
        <v>304</v>
      </c>
      <c r="O43" s="46" t="s">
        <v>412</v>
      </c>
      <c r="P43" s="46" t="s">
        <v>306</v>
      </c>
      <c r="Q43" s="54" t="s">
        <v>307</v>
      </c>
      <c r="R43" s="46">
        <v>140</v>
      </c>
      <c r="S43" s="46">
        <v>100</v>
      </c>
      <c r="T43" s="46">
        <v>2.5</v>
      </c>
      <c r="U43" s="46">
        <v>25</v>
      </c>
      <c r="V43" s="46">
        <v>46100</v>
      </c>
      <c r="W43" s="46" t="s">
        <v>267</v>
      </c>
      <c r="X43" s="46" t="s">
        <v>309</v>
      </c>
      <c r="Y43" s="46" t="s">
        <v>309</v>
      </c>
    </row>
    <row r="44" spans="1:25">
      <c r="A44" s="46">
        <v>46106</v>
      </c>
      <c r="B44" s="46">
        <v>46100</v>
      </c>
      <c r="C44" s="46" t="s">
        <v>410</v>
      </c>
      <c r="D44" s="46">
        <v>0</v>
      </c>
      <c r="E44" s="46">
        <v>5</v>
      </c>
      <c r="F44" s="46">
        <v>15</v>
      </c>
      <c r="G44" s="46">
        <v>1</v>
      </c>
      <c r="H44" s="46">
        <v>2</v>
      </c>
      <c r="I44" s="46">
        <v>138</v>
      </c>
      <c r="J44" s="46" t="s">
        <v>420</v>
      </c>
      <c r="K44" s="46" t="s">
        <v>421</v>
      </c>
      <c r="L44" s="46" t="s">
        <v>312</v>
      </c>
      <c r="M44" s="46" t="s">
        <v>303</v>
      </c>
      <c r="N44" s="46" t="s">
        <v>304</v>
      </c>
      <c r="O44" s="46" t="s">
        <v>412</v>
      </c>
      <c r="P44" s="46" t="s">
        <v>306</v>
      </c>
      <c r="Q44" s="54" t="s">
        <v>307</v>
      </c>
      <c r="R44" s="46">
        <v>144</v>
      </c>
      <c r="S44" s="46">
        <v>100</v>
      </c>
      <c r="T44" s="46">
        <v>2.5</v>
      </c>
      <c r="U44" s="46">
        <v>25</v>
      </c>
      <c r="V44" s="46">
        <v>46100</v>
      </c>
      <c r="W44" s="46" t="s">
        <v>267</v>
      </c>
      <c r="X44" s="46" t="s">
        <v>309</v>
      </c>
      <c r="Y44" s="46" t="s">
        <v>309</v>
      </c>
    </row>
    <row r="45" spans="1:25">
      <c r="A45" s="46">
        <v>46107</v>
      </c>
      <c r="B45" s="46">
        <v>46100</v>
      </c>
      <c r="C45" s="46" t="s">
        <v>410</v>
      </c>
      <c r="D45" s="46">
        <v>1</v>
      </c>
      <c r="E45" s="46">
        <v>0</v>
      </c>
      <c r="F45" s="46">
        <v>15</v>
      </c>
      <c r="G45" s="46">
        <v>2</v>
      </c>
      <c r="H45" s="46">
        <v>2</v>
      </c>
      <c r="I45" s="46">
        <v>144</v>
      </c>
      <c r="J45" s="46" t="s">
        <v>420</v>
      </c>
      <c r="K45" s="46" t="s">
        <v>422</v>
      </c>
      <c r="L45" s="46" t="s">
        <v>312</v>
      </c>
      <c r="M45" s="46" t="s">
        <v>303</v>
      </c>
      <c r="N45" s="46" t="s">
        <v>304</v>
      </c>
      <c r="O45" s="46" t="s">
        <v>412</v>
      </c>
      <c r="P45" s="46" t="s">
        <v>306</v>
      </c>
      <c r="Q45" s="54" t="s">
        <v>307</v>
      </c>
      <c r="R45" s="46">
        <v>148</v>
      </c>
      <c r="S45" s="46">
        <v>150</v>
      </c>
      <c r="T45" s="46">
        <v>2.7</v>
      </c>
      <c r="U45" s="46">
        <v>23</v>
      </c>
      <c r="V45" s="46">
        <v>46100</v>
      </c>
      <c r="W45" s="46" t="s">
        <v>267</v>
      </c>
      <c r="X45" s="46" t="s">
        <v>309</v>
      </c>
      <c r="Y45" s="46" t="s">
        <v>309</v>
      </c>
    </row>
    <row r="46" spans="1:25">
      <c r="A46" s="46">
        <v>46108</v>
      </c>
      <c r="B46" s="46">
        <v>46100</v>
      </c>
      <c r="C46" s="46" t="s">
        <v>410</v>
      </c>
      <c r="D46" s="46">
        <v>1</v>
      </c>
      <c r="E46" s="46">
        <v>1</v>
      </c>
      <c r="F46" s="46">
        <v>15</v>
      </c>
      <c r="G46" s="46">
        <v>2</v>
      </c>
      <c r="H46" s="46">
        <v>2</v>
      </c>
      <c r="I46" s="46">
        <v>150</v>
      </c>
      <c r="J46" s="46" t="s">
        <v>420</v>
      </c>
      <c r="K46" s="46" t="s">
        <v>422</v>
      </c>
      <c r="L46" s="46" t="s">
        <v>312</v>
      </c>
      <c r="M46" s="46" t="s">
        <v>303</v>
      </c>
      <c r="N46" s="46" t="s">
        <v>304</v>
      </c>
      <c r="O46" s="46" t="s">
        <v>412</v>
      </c>
      <c r="P46" s="46" t="s">
        <v>306</v>
      </c>
      <c r="Q46" s="54" t="s">
        <v>307</v>
      </c>
      <c r="R46" s="46">
        <v>152</v>
      </c>
      <c r="S46" s="46">
        <v>150</v>
      </c>
      <c r="T46" s="46">
        <v>2.7</v>
      </c>
      <c r="U46" s="46">
        <v>23</v>
      </c>
      <c r="V46" s="46">
        <v>46100</v>
      </c>
      <c r="W46" s="46" t="s">
        <v>267</v>
      </c>
      <c r="X46" s="46" t="s">
        <v>309</v>
      </c>
      <c r="Y46" s="46" t="s">
        <v>309</v>
      </c>
    </row>
    <row r="47" spans="1:25">
      <c r="A47" s="46">
        <v>46109</v>
      </c>
      <c r="B47" s="46">
        <v>46100</v>
      </c>
      <c r="C47" s="46" t="s">
        <v>410</v>
      </c>
      <c r="D47" s="46">
        <v>1</v>
      </c>
      <c r="E47" s="46">
        <v>2</v>
      </c>
      <c r="F47" s="46">
        <v>15</v>
      </c>
      <c r="G47" s="46">
        <v>2</v>
      </c>
      <c r="H47" s="46">
        <v>2</v>
      </c>
      <c r="I47" s="46">
        <v>156</v>
      </c>
      <c r="J47" s="46" t="s">
        <v>420</v>
      </c>
      <c r="K47" s="46" t="s">
        <v>422</v>
      </c>
      <c r="L47" s="46" t="s">
        <v>312</v>
      </c>
      <c r="M47" s="46" t="s">
        <v>303</v>
      </c>
      <c r="N47" s="46" t="s">
        <v>304</v>
      </c>
      <c r="O47" s="46" t="s">
        <v>412</v>
      </c>
      <c r="P47" s="46" t="s">
        <v>306</v>
      </c>
      <c r="Q47" s="54" t="s">
        <v>307</v>
      </c>
      <c r="R47" s="46">
        <v>156</v>
      </c>
      <c r="S47" s="46">
        <v>150</v>
      </c>
      <c r="T47" s="46">
        <v>2.7</v>
      </c>
      <c r="U47" s="46">
        <v>23</v>
      </c>
      <c r="V47" s="46">
        <v>46100</v>
      </c>
      <c r="W47" s="46" t="s">
        <v>267</v>
      </c>
      <c r="X47" s="46" t="s">
        <v>309</v>
      </c>
      <c r="Y47" s="46" t="s">
        <v>309</v>
      </c>
    </row>
    <row r="48" spans="1:25">
      <c r="A48" s="46">
        <v>46110</v>
      </c>
      <c r="B48" s="46">
        <v>46100</v>
      </c>
      <c r="C48" s="46" t="s">
        <v>410</v>
      </c>
      <c r="D48" s="46">
        <v>1</v>
      </c>
      <c r="E48" s="46">
        <v>3</v>
      </c>
      <c r="F48" s="46">
        <v>15</v>
      </c>
      <c r="G48" s="46">
        <v>2</v>
      </c>
      <c r="H48" s="46">
        <v>2</v>
      </c>
      <c r="I48" s="46">
        <v>164</v>
      </c>
      <c r="J48" s="46" t="s">
        <v>420</v>
      </c>
      <c r="K48" s="46" t="s">
        <v>422</v>
      </c>
      <c r="L48" s="46" t="s">
        <v>312</v>
      </c>
      <c r="M48" s="46" t="s">
        <v>303</v>
      </c>
      <c r="N48" s="46" t="s">
        <v>304</v>
      </c>
      <c r="O48" s="46" t="s">
        <v>412</v>
      </c>
      <c r="P48" s="46" t="s">
        <v>306</v>
      </c>
      <c r="Q48" s="54" t="s">
        <v>307</v>
      </c>
      <c r="R48" s="46">
        <v>160</v>
      </c>
      <c r="S48" s="46">
        <v>150</v>
      </c>
      <c r="T48" s="46">
        <v>2.7</v>
      </c>
      <c r="U48" s="46">
        <v>23</v>
      </c>
      <c r="V48" s="46">
        <v>46100</v>
      </c>
      <c r="W48" s="46" t="s">
        <v>267</v>
      </c>
      <c r="X48" s="46" t="s">
        <v>309</v>
      </c>
      <c r="Y48" s="46" t="s">
        <v>309</v>
      </c>
    </row>
    <row r="49" spans="1:25">
      <c r="A49" s="46">
        <v>46111</v>
      </c>
      <c r="B49" s="46">
        <v>46100</v>
      </c>
      <c r="C49" s="46" t="s">
        <v>410</v>
      </c>
      <c r="D49" s="46">
        <v>1</v>
      </c>
      <c r="E49" s="46">
        <v>4</v>
      </c>
      <c r="F49" s="46">
        <v>15</v>
      </c>
      <c r="G49" s="46">
        <v>2</v>
      </c>
      <c r="H49" s="46">
        <v>2</v>
      </c>
      <c r="I49" s="46">
        <v>170</v>
      </c>
      <c r="J49" s="46" t="s">
        <v>420</v>
      </c>
      <c r="K49" s="46" t="s">
        <v>422</v>
      </c>
      <c r="L49" s="46" t="s">
        <v>312</v>
      </c>
      <c r="M49" s="46" t="s">
        <v>303</v>
      </c>
      <c r="N49" s="46" t="s">
        <v>304</v>
      </c>
      <c r="O49" s="46" t="s">
        <v>412</v>
      </c>
      <c r="P49" s="46" t="s">
        <v>306</v>
      </c>
      <c r="Q49" s="54" t="s">
        <v>307</v>
      </c>
      <c r="R49" s="46">
        <v>164</v>
      </c>
      <c r="S49" s="46">
        <v>150</v>
      </c>
      <c r="T49" s="46">
        <v>2.7</v>
      </c>
      <c r="U49" s="46">
        <v>23</v>
      </c>
      <c r="V49" s="46">
        <v>46100</v>
      </c>
      <c r="W49" s="46" t="s">
        <v>267</v>
      </c>
      <c r="X49" s="46" t="s">
        <v>309</v>
      </c>
      <c r="Y49" s="46" t="s">
        <v>309</v>
      </c>
    </row>
    <row r="50" spans="1:25">
      <c r="A50" s="46">
        <v>46112</v>
      </c>
      <c r="B50" s="46">
        <v>46100</v>
      </c>
      <c r="C50" s="46" t="s">
        <v>410</v>
      </c>
      <c r="D50" s="46">
        <v>1</v>
      </c>
      <c r="E50" s="46">
        <v>5</v>
      </c>
      <c r="F50" s="46">
        <v>23</v>
      </c>
      <c r="G50" s="46">
        <v>2</v>
      </c>
      <c r="H50" s="46">
        <v>3</v>
      </c>
      <c r="I50" s="46">
        <v>176</v>
      </c>
      <c r="J50" s="46" t="s">
        <v>420</v>
      </c>
      <c r="K50" s="46" t="s">
        <v>422</v>
      </c>
      <c r="L50" s="46" t="s">
        <v>312</v>
      </c>
      <c r="M50" s="46" t="s">
        <v>303</v>
      </c>
      <c r="N50" s="46" t="s">
        <v>304</v>
      </c>
      <c r="O50" s="46" t="s">
        <v>412</v>
      </c>
      <c r="P50" s="46" t="s">
        <v>306</v>
      </c>
      <c r="Q50" s="54" t="s">
        <v>307</v>
      </c>
      <c r="R50" s="46">
        <v>168</v>
      </c>
      <c r="S50" s="46">
        <v>150</v>
      </c>
      <c r="T50" s="46">
        <v>2.7</v>
      </c>
      <c r="U50" s="46">
        <v>23</v>
      </c>
      <c r="V50" s="46">
        <v>46100</v>
      </c>
      <c r="W50" s="46" t="s">
        <v>267</v>
      </c>
      <c r="X50" s="46" t="s">
        <v>309</v>
      </c>
      <c r="Y50" s="46" t="s">
        <v>309</v>
      </c>
    </row>
    <row r="51" spans="1:25">
      <c r="A51" s="46">
        <v>46113</v>
      </c>
      <c r="B51" s="46">
        <v>46100</v>
      </c>
      <c r="C51" s="46" t="s">
        <v>410</v>
      </c>
      <c r="D51" s="46">
        <v>2</v>
      </c>
      <c r="E51" s="46">
        <v>0</v>
      </c>
      <c r="F51" s="46">
        <v>23</v>
      </c>
      <c r="G51" s="46">
        <v>4</v>
      </c>
      <c r="H51" s="46">
        <v>3</v>
      </c>
      <c r="I51" s="46">
        <v>189</v>
      </c>
      <c r="J51" s="46" t="s">
        <v>420</v>
      </c>
      <c r="K51" s="46" t="s">
        <v>423</v>
      </c>
      <c r="L51" s="46" t="s">
        <v>312</v>
      </c>
      <c r="M51" s="46" t="s">
        <v>303</v>
      </c>
      <c r="N51" s="46" t="s">
        <v>304</v>
      </c>
      <c r="O51" s="46" t="s">
        <v>412</v>
      </c>
      <c r="P51" s="46" t="s">
        <v>306</v>
      </c>
      <c r="Q51" s="54" t="s">
        <v>307</v>
      </c>
      <c r="R51" s="46">
        <v>172</v>
      </c>
      <c r="S51" s="46">
        <v>200</v>
      </c>
      <c r="T51" s="46">
        <v>3</v>
      </c>
      <c r="U51" s="46">
        <v>23</v>
      </c>
      <c r="V51" s="46">
        <v>46100</v>
      </c>
      <c r="W51" s="46" t="s">
        <v>267</v>
      </c>
      <c r="X51" s="46" t="s">
        <v>309</v>
      </c>
      <c r="Y51" s="46" t="s">
        <v>309</v>
      </c>
    </row>
    <row r="52" spans="1:25">
      <c r="A52" s="46">
        <v>46114</v>
      </c>
      <c r="B52" s="46">
        <v>46100</v>
      </c>
      <c r="C52" s="46" t="s">
        <v>410</v>
      </c>
      <c r="D52" s="46">
        <v>2</v>
      </c>
      <c r="E52" s="46">
        <v>1</v>
      </c>
      <c r="F52" s="46">
        <v>23</v>
      </c>
      <c r="G52" s="46">
        <v>4</v>
      </c>
      <c r="H52" s="46">
        <v>3</v>
      </c>
      <c r="I52" s="46">
        <v>202</v>
      </c>
      <c r="J52" s="46" t="s">
        <v>420</v>
      </c>
      <c r="K52" s="46" t="s">
        <v>423</v>
      </c>
      <c r="L52" s="46" t="s">
        <v>312</v>
      </c>
      <c r="M52" s="46" t="s">
        <v>303</v>
      </c>
      <c r="N52" s="46" t="s">
        <v>304</v>
      </c>
      <c r="O52" s="46" t="s">
        <v>412</v>
      </c>
      <c r="P52" s="46" t="s">
        <v>306</v>
      </c>
      <c r="Q52" s="54" t="s">
        <v>307</v>
      </c>
      <c r="R52" s="46">
        <v>176</v>
      </c>
      <c r="S52" s="46">
        <v>200</v>
      </c>
      <c r="T52" s="46">
        <v>3</v>
      </c>
      <c r="U52" s="46">
        <v>21</v>
      </c>
      <c r="V52" s="46">
        <v>46100</v>
      </c>
      <c r="W52" s="46" t="s">
        <v>267</v>
      </c>
      <c r="X52" s="46" t="s">
        <v>309</v>
      </c>
      <c r="Y52" s="46" t="s">
        <v>309</v>
      </c>
    </row>
    <row r="53" spans="1:25">
      <c r="A53" s="46">
        <v>46115</v>
      </c>
      <c r="B53" s="46">
        <v>46100</v>
      </c>
      <c r="C53" s="46" t="s">
        <v>410</v>
      </c>
      <c r="D53" s="46">
        <v>2</v>
      </c>
      <c r="E53" s="46">
        <v>2</v>
      </c>
      <c r="F53" s="46">
        <v>23</v>
      </c>
      <c r="G53" s="46">
        <v>4</v>
      </c>
      <c r="H53" s="46">
        <v>3</v>
      </c>
      <c r="I53" s="46">
        <v>213</v>
      </c>
      <c r="J53" s="46" t="s">
        <v>420</v>
      </c>
      <c r="K53" s="46" t="s">
        <v>423</v>
      </c>
      <c r="L53" s="46" t="s">
        <v>312</v>
      </c>
      <c r="M53" s="46" t="s">
        <v>303</v>
      </c>
      <c r="N53" s="46" t="s">
        <v>304</v>
      </c>
      <c r="O53" s="46" t="s">
        <v>412</v>
      </c>
      <c r="P53" s="46" t="s">
        <v>306</v>
      </c>
      <c r="Q53" s="54" t="s">
        <v>307</v>
      </c>
      <c r="R53" s="46">
        <v>180</v>
      </c>
      <c r="S53" s="46">
        <v>200</v>
      </c>
      <c r="T53" s="46">
        <v>3</v>
      </c>
      <c r="U53" s="46">
        <v>21</v>
      </c>
      <c r="V53" s="46">
        <v>46100</v>
      </c>
      <c r="W53" s="46" t="s">
        <v>267</v>
      </c>
      <c r="X53" s="46" t="s">
        <v>309</v>
      </c>
      <c r="Y53" s="46" t="s">
        <v>309</v>
      </c>
    </row>
    <row r="54" spans="1:25">
      <c r="A54" s="46">
        <v>46116</v>
      </c>
      <c r="B54" s="46">
        <v>46100</v>
      </c>
      <c r="C54" s="46" t="s">
        <v>410</v>
      </c>
      <c r="D54" s="46">
        <v>2</v>
      </c>
      <c r="E54" s="46">
        <v>3</v>
      </c>
      <c r="F54" s="46">
        <v>23</v>
      </c>
      <c r="G54" s="46">
        <v>4</v>
      </c>
      <c r="H54" s="46">
        <v>3</v>
      </c>
      <c r="I54" s="46">
        <v>226</v>
      </c>
      <c r="J54" s="46" t="s">
        <v>420</v>
      </c>
      <c r="K54" s="46" t="s">
        <v>423</v>
      </c>
      <c r="L54" s="46" t="s">
        <v>312</v>
      </c>
      <c r="M54" s="46" t="s">
        <v>303</v>
      </c>
      <c r="N54" s="46" t="s">
        <v>304</v>
      </c>
      <c r="O54" s="46" t="s">
        <v>412</v>
      </c>
      <c r="P54" s="46" t="s">
        <v>306</v>
      </c>
      <c r="Q54" s="54" t="s">
        <v>307</v>
      </c>
      <c r="R54" s="46">
        <v>184</v>
      </c>
      <c r="S54" s="46">
        <v>200</v>
      </c>
      <c r="T54" s="46">
        <v>3</v>
      </c>
      <c r="U54" s="46">
        <v>21</v>
      </c>
      <c r="V54" s="46">
        <v>46100</v>
      </c>
      <c r="W54" s="46" t="s">
        <v>267</v>
      </c>
      <c r="X54" s="46" t="s">
        <v>309</v>
      </c>
      <c r="Y54" s="46" t="s">
        <v>309</v>
      </c>
    </row>
    <row r="55" spans="1:25">
      <c r="A55" s="46">
        <v>46117</v>
      </c>
      <c r="B55" s="46">
        <v>46100</v>
      </c>
      <c r="C55" s="46" t="s">
        <v>410</v>
      </c>
      <c r="D55" s="46">
        <v>2</v>
      </c>
      <c r="E55" s="46">
        <v>4</v>
      </c>
      <c r="F55" s="46">
        <v>23</v>
      </c>
      <c r="G55" s="46">
        <v>4</v>
      </c>
      <c r="H55" s="46">
        <v>3</v>
      </c>
      <c r="I55" s="46">
        <v>238</v>
      </c>
      <c r="J55" s="46" t="s">
        <v>420</v>
      </c>
      <c r="K55" s="46" t="s">
        <v>423</v>
      </c>
      <c r="L55" s="46" t="s">
        <v>312</v>
      </c>
      <c r="M55" s="46" t="s">
        <v>303</v>
      </c>
      <c r="N55" s="46" t="s">
        <v>304</v>
      </c>
      <c r="O55" s="46" t="s">
        <v>412</v>
      </c>
      <c r="P55" s="46" t="s">
        <v>306</v>
      </c>
      <c r="Q55" s="54" t="s">
        <v>307</v>
      </c>
      <c r="R55" s="46">
        <v>188</v>
      </c>
      <c r="S55" s="46">
        <v>200</v>
      </c>
      <c r="T55" s="46">
        <v>3</v>
      </c>
      <c r="U55" s="46">
        <v>21</v>
      </c>
      <c r="V55" s="46">
        <v>46100</v>
      </c>
      <c r="W55" s="46" t="s">
        <v>267</v>
      </c>
      <c r="X55" s="46" t="s">
        <v>309</v>
      </c>
      <c r="Y55" s="46" t="s">
        <v>309</v>
      </c>
    </row>
    <row r="56" spans="1:25">
      <c r="A56" s="46">
        <v>46118</v>
      </c>
      <c r="B56" s="46">
        <v>46100</v>
      </c>
      <c r="C56" s="46" t="s">
        <v>410</v>
      </c>
      <c r="D56" s="46">
        <v>2</v>
      </c>
      <c r="E56" s="46">
        <v>5</v>
      </c>
      <c r="F56" s="46">
        <v>37</v>
      </c>
      <c r="G56" s="46">
        <v>4</v>
      </c>
      <c r="H56" s="46">
        <v>4</v>
      </c>
      <c r="I56" s="46">
        <v>251</v>
      </c>
      <c r="J56" s="46" t="s">
        <v>420</v>
      </c>
      <c r="K56" s="46" t="s">
        <v>423</v>
      </c>
      <c r="L56" s="46" t="s">
        <v>312</v>
      </c>
      <c r="M56" s="46" t="s">
        <v>303</v>
      </c>
      <c r="N56" s="46" t="s">
        <v>304</v>
      </c>
      <c r="O56" s="46" t="s">
        <v>412</v>
      </c>
      <c r="P56" s="46" t="s">
        <v>306</v>
      </c>
      <c r="Q56" s="54" t="s">
        <v>307</v>
      </c>
      <c r="R56" s="46">
        <v>192</v>
      </c>
      <c r="S56" s="46">
        <v>200</v>
      </c>
      <c r="T56" s="46">
        <v>3</v>
      </c>
      <c r="U56" s="46">
        <v>21</v>
      </c>
      <c r="V56" s="46">
        <v>46100</v>
      </c>
      <c r="W56" s="46" t="s">
        <v>267</v>
      </c>
      <c r="X56" s="46" t="s">
        <v>309</v>
      </c>
      <c r="Y56" s="46" t="s">
        <v>309</v>
      </c>
    </row>
    <row r="57" spans="1:25">
      <c r="A57" s="46">
        <v>46119</v>
      </c>
      <c r="B57" s="46">
        <v>46100</v>
      </c>
      <c r="C57" s="46" t="s">
        <v>410</v>
      </c>
      <c r="D57" s="46">
        <v>3</v>
      </c>
      <c r="E57" s="46">
        <v>0</v>
      </c>
      <c r="F57" s="46">
        <v>37</v>
      </c>
      <c r="G57" s="46">
        <v>8</v>
      </c>
      <c r="H57" s="46">
        <v>4</v>
      </c>
      <c r="I57" s="46">
        <v>268</v>
      </c>
      <c r="J57" s="46" t="s">
        <v>420</v>
      </c>
      <c r="K57" s="46" t="s">
        <v>424</v>
      </c>
      <c r="L57" s="46" t="s">
        <v>312</v>
      </c>
      <c r="M57" s="46" t="s">
        <v>303</v>
      </c>
      <c r="N57" s="46" t="s">
        <v>304</v>
      </c>
      <c r="O57" s="46" t="s">
        <v>412</v>
      </c>
      <c r="P57" s="46" t="s">
        <v>306</v>
      </c>
      <c r="Q57" s="54" t="s">
        <v>307</v>
      </c>
      <c r="R57" s="46">
        <v>196</v>
      </c>
      <c r="S57" s="46">
        <v>250</v>
      </c>
      <c r="T57" s="46">
        <v>3.3</v>
      </c>
      <c r="U57" s="46">
        <v>21</v>
      </c>
      <c r="V57" s="46">
        <v>46100</v>
      </c>
      <c r="W57" s="46" t="s">
        <v>267</v>
      </c>
      <c r="X57" s="46" t="s">
        <v>309</v>
      </c>
      <c r="Y57" s="46" t="s">
        <v>309</v>
      </c>
    </row>
    <row r="58" spans="1:25">
      <c r="A58" s="46">
        <v>46120</v>
      </c>
      <c r="B58" s="46">
        <v>46100</v>
      </c>
      <c r="C58" s="46" t="s">
        <v>410</v>
      </c>
      <c r="D58" s="46">
        <v>3</v>
      </c>
      <c r="E58" s="46">
        <v>1</v>
      </c>
      <c r="F58" s="46">
        <v>37</v>
      </c>
      <c r="G58" s="46">
        <v>8</v>
      </c>
      <c r="H58" s="46">
        <v>4</v>
      </c>
      <c r="I58" s="46">
        <v>285</v>
      </c>
      <c r="J58" s="46" t="s">
        <v>420</v>
      </c>
      <c r="K58" s="46" t="s">
        <v>424</v>
      </c>
      <c r="L58" s="46" t="s">
        <v>312</v>
      </c>
      <c r="M58" s="46" t="s">
        <v>303</v>
      </c>
      <c r="N58" s="46" t="s">
        <v>304</v>
      </c>
      <c r="O58" s="46" t="s">
        <v>412</v>
      </c>
      <c r="P58" s="46" t="s">
        <v>306</v>
      </c>
      <c r="Q58" s="54" t="s">
        <v>307</v>
      </c>
      <c r="R58" s="46">
        <v>200</v>
      </c>
      <c r="S58" s="46">
        <v>250</v>
      </c>
      <c r="T58" s="46">
        <v>3.3</v>
      </c>
      <c r="U58" s="46">
        <v>19</v>
      </c>
      <c r="V58" s="46">
        <v>46100</v>
      </c>
      <c r="W58" s="46" t="s">
        <v>267</v>
      </c>
      <c r="X58" s="46" t="s">
        <v>309</v>
      </c>
      <c r="Y58" s="46" t="s">
        <v>309</v>
      </c>
    </row>
    <row r="59" spans="1:25">
      <c r="A59" s="46">
        <v>46121</v>
      </c>
      <c r="B59" s="46">
        <v>46100</v>
      </c>
      <c r="C59" s="46" t="s">
        <v>410</v>
      </c>
      <c r="D59" s="46">
        <v>3</v>
      </c>
      <c r="E59" s="46">
        <v>2</v>
      </c>
      <c r="F59" s="46">
        <v>37</v>
      </c>
      <c r="G59" s="46">
        <v>8</v>
      </c>
      <c r="H59" s="46">
        <v>4</v>
      </c>
      <c r="I59" s="46">
        <v>301</v>
      </c>
      <c r="J59" s="46" t="s">
        <v>420</v>
      </c>
      <c r="K59" s="46" t="s">
        <v>424</v>
      </c>
      <c r="L59" s="46" t="s">
        <v>312</v>
      </c>
      <c r="M59" s="46" t="s">
        <v>303</v>
      </c>
      <c r="N59" s="46" t="s">
        <v>304</v>
      </c>
      <c r="O59" s="46" t="s">
        <v>412</v>
      </c>
      <c r="P59" s="46" t="s">
        <v>306</v>
      </c>
      <c r="Q59" s="54" t="s">
        <v>307</v>
      </c>
      <c r="R59" s="46">
        <v>204</v>
      </c>
      <c r="S59" s="46">
        <v>250</v>
      </c>
      <c r="T59" s="46">
        <v>3.3</v>
      </c>
      <c r="U59" s="46">
        <v>19</v>
      </c>
      <c r="V59" s="46">
        <v>46100</v>
      </c>
      <c r="W59" s="46" t="s">
        <v>267</v>
      </c>
      <c r="X59" s="46" t="s">
        <v>309</v>
      </c>
      <c r="Y59" s="46" t="s">
        <v>309</v>
      </c>
    </row>
    <row r="60" spans="1:25">
      <c r="A60" s="46">
        <v>46122</v>
      </c>
      <c r="B60" s="46">
        <v>46100</v>
      </c>
      <c r="C60" s="46" t="s">
        <v>410</v>
      </c>
      <c r="D60" s="46">
        <v>3</v>
      </c>
      <c r="E60" s="46">
        <v>3</v>
      </c>
      <c r="F60" s="46">
        <v>37</v>
      </c>
      <c r="G60" s="46">
        <v>8</v>
      </c>
      <c r="H60" s="46">
        <v>4</v>
      </c>
      <c r="I60" s="46">
        <v>318</v>
      </c>
      <c r="J60" s="46" t="s">
        <v>420</v>
      </c>
      <c r="K60" s="46" t="s">
        <v>424</v>
      </c>
      <c r="L60" s="46" t="s">
        <v>312</v>
      </c>
      <c r="M60" s="46" t="s">
        <v>303</v>
      </c>
      <c r="N60" s="46" t="s">
        <v>304</v>
      </c>
      <c r="O60" s="46" t="s">
        <v>412</v>
      </c>
      <c r="P60" s="46" t="s">
        <v>306</v>
      </c>
      <c r="Q60" s="54" t="s">
        <v>307</v>
      </c>
      <c r="R60" s="46">
        <v>208</v>
      </c>
      <c r="S60" s="46">
        <v>250</v>
      </c>
      <c r="T60" s="46">
        <v>3.3</v>
      </c>
      <c r="U60" s="46">
        <v>19</v>
      </c>
      <c r="V60" s="46">
        <v>46100</v>
      </c>
      <c r="W60" s="46" t="s">
        <v>267</v>
      </c>
      <c r="X60" s="46" t="s">
        <v>309</v>
      </c>
      <c r="Y60" s="46" t="s">
        <v>309</v>
      </c>
    </row>
    <row r="61" spans="1:25">
      <c r="A61" s="46">
        <v>46123</v>
      </c>
      <c r="B61" s="46">
        <v>46100</v>
      </c>
      <c r="C61" s="46" t="s">
        <v>410</v>
      </c>
      <c r="D61" s="46">
        <v>3</v>
      </c>
      <c r="E61" s="46">
        <v>4</v>
      </c>
      <c r="F61" s="46">
        <v>37</v>
      </c>
      <c r="G61" s="46">
        <v>8</v>
      </c>
      <c r="H61" s="46">
        <v>4</v>
      </c>
      <c r="I61" s="46">
        <v>336</v>
      </c>
      <c r="J61" s="46" t="s">
        <v>420</v>
      </c>
      <c r="K61" s="46" t="s">
        <v>424</v>
      </c>
      <c r="L61" s="46" t="s">
        <v>312</v>
      </c>
      <c r="M61" s="46" t="s">
        <v>303</v>
      </c>
      <c r="N61" s="46" t="s">
        <v>304</v>
      </c>
      <c r="O61" s="46" t="s">
        <v>412</v>
      </c>
      <c r="P61" s="46" t="s">
        <v>306</v>
      </c>
      <c r="Q61" s="54" t="s">
        <v>307</v>
      </c>
      <c r="R61" s="46">
        <v>212</v>
      </c>
      <c r="S61" s="46">
        <v>250</v>
      </c>
      <c r="T61" s="46">
        <v>3.3</v>
      </c>
      <c r="U61" s="46">
        <v>19</v>
      </c>
      <c r="V61" s="46">
        <v>46100</v>
      </c>
      <c r="W61" s="46" t="s">
        <v>267</v>
      </c>
      <c r="X61" s="46" t="s">
        <v>309</v>
      </c>
      <c r="Y61" s="46" t="s">
        <v>309</v>
      </c>
    </row>
    <row r="62" spans="1:25">
      <c r="A62" s="46">
        <v>46124</v>
      </c>
      <c r="B62" s="46">
        <v>46100</v>
      </c>
      <c r="C62" s="46" t="s">
        <v>410</v>
      </c>
      <c r="D62" s="46">
        <v>3</v>
      </c>
      <c r="E62" s="46">
        <v>5</v>
      </c>
      <c r="F62" s="46">
        <v>80</v>
      </c>
      <c r="G62" s="46">
        <v>8</v>
      </c>
      <c r="H62" s="46">
        <v>5</v>
      </c>
      <c r="I62" s="46">
        <v>353</v>
      </c>
      <c r="J62" s="46" t="s">
        <v>420</v>
      </c>
      <c r="K62" s="46" t="s">
        <v>424</v>
      </c>
      <c r="L62" s="46" t="s">
        <v>312</v>
      </c>
      <c r="M62" s="46" t="s">
        <v>303</v>
      </c>
      <c r="N62" s="46" t="s">
        <v>304</v>
      </c>
      <c r="O62" s="46" t="s">
        <v>412</v>
      </c>
      <c r="P62" s="46" t="s">
        <v>306</v>
      </c>
      <c r="Q62" s="54" t="s">
        <v>307</v>
      </c>
      <c r="R62" s="46">
        <v>216</v>
      </c>
      <c r="S62" s="46">
        <v>250</v>
      </c>
      <c r="T62" s="46">
        <v>3.3</v>
      </c>
      <c r="U62" s="46">
        <v>19</v>
      </c>
      <c r="V62" s="46">
        <v>46100</v>
      </c>
      <c r="W62" s="46" t="s">
        <v>267</v>
      </c>
      <c r="X62" s="46" t="s">
        <v>309</v>
      </c>
      <c r="Y62" s="46" t="s">
        <v>309</v>
      </c>
    </row>
    <row r="63" spans="1:25">
      <c r="A63" s="46">
        <v>46125</v>
      </c>
      <c r="B63" s="46">
        <v>46100</v>
      </c>
      <c r="C63" s="46" t="s">
        <v>410</v>
      </c>
      <c r="D63" s="46">
        <v>4</v>
      </c>
      <c r="E63" s="46">
        <v>0</v>
      </c>
      <c r="F63" s="46">
        <v>120</v>
      </c>
      <c r="G63" s="46">
        <v>24</v>
      </c>
      <c r="H63" s="46">
        <v>5</v>
      </c>
      <c r="I63" s="46">
        <v>374</v>
      </c>
      <c r="J63" s="46" t="s">
        <v>420</v>
      </c>
      <c r="K63" s="46" t="s">
        <v>425</v>
      </c>
      <c r="L63" s="46" t="s">
        <v>312</v>
      </c>
      <c r="M63" s="46" t="s">
        <v>303</v>
      </c>
      <c r="N63" s="46" t="s">
        <v>304</v>
      </c>
      <c r="O63" s="46" t="s">
        <v>412</v>
      </c>
      <c r="P63" s="46" t="s">
        <v>306</v>
      </c>
      <c r="Q63" s="54" t="s">
        <v>307</v>
      </c>
      <c r="R63" s="46">
        <v>220</v>
      </c>
      <c r="S63" s="46">
        <v>300</v>
      </c>
      <c r="T63" s="46">
        <v>3.6</v>
      </c>
      <c r="U63" s="46">
        <v>19</v>
      </c>
      <c r="V63" s="46">
        <v>46100</v>
      </c>
      <c r="W63" s="46" t="s">
        <v>267</v>
      </c>
      <c r="X63" s="46" t="s">
        <v>309</v>
      </c>
      <c r="Y63" s="46" t="s">
        <v>309</v>
      </c>
    </row>
    <row r="64" spans="1:25">
      <c r="A64" s="46">
        <v>46126</v>
      </c>
      <c r="B64" s="46">
        <v>46100</v>
      </c>
      <c r="C64" s="46" t="s">
        <v>410</v>
      </c>
      <c r="D64" s="46">
        <v>4</v>
      </c>
      <c r="E64" s="46">
        <v>1</v>
      </c>
      <c r="F64" s="46">
        <v>160</v>
      </c>
      <c r="G64" s="46">
        <v>24</v>
      </c>
      <c r="H64" s="46">
        <v>5</v>
      </c>
      <c r="I64" s="46">
        <v>396</v>
      </c>
      <c r="J64" s="46" t="s">
        <v>420</v>
      </c>
      <c r="K64" s="46" t="s">
        <v>425</v>
      </c>
      <c r="L64" s="46" t="s">
        <v>312</v>
      </c>
      <c r="M64" s="46" t="s">
        <v>303</v>
      </c>
      <c r="N64" s="46" t="s">
        <v>304</v>
      </c>
      <c r="O64" s="46" t="s">
        <v>412</v>
      </c>
      <c r="P64" s="46" t="s">
        <v>306</v>
      </c>
      <c r="Q64" s="54" t="s">
        <v>307</v>
      </c>
      <c r="R64" s="46">
        <v>227</v>
      </c>
      <c r="S64" s="46">
        <v>300</v>
      </c>
      <c r="T64" s="46">
        <v>3.6</v>
      </c>
      <c r="U64" s="46">
        <v>17</v>
      </c>
      <c r="V64" s="46">
        <v>46100</v>
      </c>
      <c r="W64" s="46" t="s">
        <v>267</v>
      </c>
      <c r="X64" s="46" t="s">
        <v>309</v>
      </c>
      <c r="Y64" s="46" t="s">
        <v>309</v>
      </c>
    </row>
    <row r="65" spans="1:25">
      <c r="A65" s="46">
        <v>46127</v>
      </c>
      <c r="B65" s="46">
        <v>46100</v>
      </c>
      <c r="C65" s="46" t="s">
        <v>410</v>
      </c>
      <c r="D65" s="46">
        <v>4</v>
      </c>
      <c r="E65" s="46">
        <v>2</v>
      </c>
      <c r="F65" s="46">
        <v>200</v>
      </c>
      <c r="G65" s="46">
        <v>24</v>
      </c>
      <c r="H65" s="46">
        <v>5</v>
      </c>
      <c r="I65" s="46">
        <v>418</v>
      </c>
      <c r="J65" s="46" t="s">
        <v>420</v>
      </c>
      <c r="K65" s="46" t="s">
        <v>425</v>
      </c>
      <c r="L65" s="46" t="s">
        <v>312</v>
      </c>
      <c r="M65" s="46" t="s">
        <v>303</v>
      </c>
      <c r="N65" s="46" t="s">
        <v>304</v>
      </c>
      <c r="O65" s="46" t="s">
        <v>412</v>
      </c>
      <c r="P65" s="46" t="s">
        <v>306</v>
      </c>
      <c r="Q65" s="54" t="s">
        <v>307</v>
      </c>
      <c r="R65" s="46">
        <v>234</v>
      </c>
      <c r="S65" s="46">
        <v>300</v>
      </c>
      <c r="T65" s="46">
        <v>3.6</v>
      </c>
      <c r="U65" s="46">
        <v>17</v>
      </c>
      <c r="V65" s="46">
        <v>46100</v>
      </c>
      <c r="W65" s="46" t="s">
        <v>267</v>
      </c>
      <c r="X65" s="46" t="s">
        <v>309</v>
      </c>
      <c r="Y65" s="46" t="s">
        <v>309</v>
      </c>
    </row>
    <row r="66" spans="1:25">
      <c r="A66" s="46">
        <v>46128</v>
      </c>
      <c r="B66" s="46">
        <v>46100</v>
      </c>
      <c r="C66" s="46" t="s">
        <v>410</v>
      </c>
      <c r="D66" s="46">
        <v>4</v>
      </c>
      <c r="E66" s="46">
        <v>3</v>
      </c>
      <c r="F66" s="46">
        <v>250</v>
      </c>
      <c r="G66" s="46">
        <v>24</v>
      </c>
      <c r="H66" s="46">
        <v>5</v>
      </c>
      <c r="I66" s="46">
        <v>440</v>
      </c>
      <c r="J66" s="46" t="s">
        <v>420</v>
      </c>
      <c r="K66" s="46" t="s">
        <v>425</v>
      </c>
      <c r="L66" s="46" t="s">
        <v>312</v>
      </c>
      <c r="M66" s="46" t="s">
        <v>303</v>
      </c>
      <c r="N66" s="46" t="s">
        <v>304</v>
      </c>
      <c r="O66" s="46" t="s">
        <v>412</v>
      </c>
      <c r="P66" s="46" t="s">
        <v>306</v>
      </c>
      <c r="Q66" s="54" t="s">
        <v>307</v>
      </c>
      <c r="R66" s="46">
        <v>241</v>
      </c>
      <c r="S66" s="46">
        <v>300</v>
      </c>
      <c r="T66" s="46">
        <v>3.6</v>
      </c>
      <c r="U66" s="46">
        <v>17</v>
      </c>
      <c r="V66" s="46">
        <v>46100</v>
      </c>
      <c r="W66" s="46" t="s">
        <v>267</v>
      </c>
      <c r="X66" s="46" t="s">
        <v>309</v>
      </c>
      <c r="Y66" s="46" t="s">
        <v>309</v>
      </c>
    </row>
    <row r="67" spans="1:25">
      <c r="A67" s="46">
        <v>46129</v>
      </c>
      <c r="B67" s="46">
        <v>46100</v>
      </c>
      <c r="C67" s="46" t="s">
        <v>410</v>
      </c>
      <c r="D67" s="46">
        <v>4</v>
      </c>
      <c r="E67" s="46">
        <v>4</v>
      </c>
      <c r="F67" s="46">
        <v>400</v>
      </c>
      <c r="G67" s="46">
        <v>24</v>
      </c>
      <c r="H67" s="46">
        <v>5</v>
      </c>
      <c r="I67" s="46">
        <v>461</v>
      </c>
      <c r="J67" s="46" t="s">
        <v>420</v>
      </c>
      <c r="K67" s="46" t="s">
        <v>425</v>
      </c>
      <c r="L67" s="46" t="s">
        <v>312</v>
      </c>
      <c r="M67" s="46" t="s">
        <v>303</v>
      </c>
      <c r="N67" s="46" t="s">
        <v>304</v>
      </c>
      <c r="O67" s="46" t="s">
        <v>412</v>
      </c>
      <c r="P67" s="46" t="s">
        <v>306</v>
      </c>
      <c r="Q67" s="54" t="s">
        <v>307</v>
      </c>
      <c r="R67" s="46">
        <v>248</v>
      </c>
      <c r="S67" s="46">
        <v>300</v>
      </c>
      <c r="T67" s="46">
        <v>3.6</v>
      </c>
      <c r="U67" s="46">
        <v>17</v>
      </c>
      <c r="V67" s="46">
        <v>46100</v>
      </c>
      <c r="W67" s="46" t="s">
        <v>267</v>
      </c>
      <c r="X67" s="46" t="s">
        <v>309</v>
      </c>
      <c r="Y67" s="46" t="s">
        <v>309</v>
      </c>
    </row>
    <row r="68" spans="1:25">
      <c r="A68" s="46">
        <v>46130</v>
      </c>
      <c r="B68" s="46">
        <v>46100</v>
      </c>
      <c r="C68" s="46" t="s">
        <v>410</v>
      </c>
      <c r="D68" s="46">
        <v>4</v>
      </c>
      <c r="E68" s="46">
        <v>5</v>
      </c>
      <c r="F68" s="46">
        <v>550</v>
      </c>
      <c r="G68" s="46">
        <v>48</v>
      </c>
      <c r="H68" s="46">
        <v>6</v>
      </c>
      <c r="I68" s="46">
        <v>483</v>
      </c>
      <c r="J68" s="46" t="s">
        <v>420</v>
      </c>
      <c r="K68" s="46" t="s">
        <v>425</v>
      </c>
      <c r="L68" s="46" t="s">
        <v>312</v>
      </c>
      <c r="M68" s="46" t="s">
        <v>303</v>
      </c>
      <c r="N68" s="46" t="s">
        <v>304</v>
      </c>
      <c r="O68" s="46" t="s">
        <v>412</v>
      </c>
      <c r="P68" s="46" t="s">
        <v>306</v>
      </c>
      <c r="Q68" s="54" t="s">
        <v>307</v>
      </c>
      <c r="R68" s="46">
        <v>255</v>
      </c>
      <c r="S68" s="46">
        <v>300</v>
      </c>
      <c r="T68" s="46">
        <v>3.6</v>
      </c>
      <c r="U68" s="46">
        <v>17</v>
      </c>
      <c r="V68" s="46">
        <v>46100</v>
      </c>
      <c r="W68" s="46" t="s">
        <v>267</v>
      </c>
      <c r="X68" s="46" t="s">
        <v>309</v>
      </c>
      <c r="Y68" s="46" t="s">
        <v>309</v>
      </c>
    </row>
    <row r="69" spans="1:25">
      <c r="A69" s="46">
        <v>46131</v>
      </c>
      <c r="B69" s="46">
        <v>46100</v>
      </c>
      <c r="C69" s="46" t="s">
        <v>410</v>
      </c>
      <c r="D69" s="46">
        <v>5</v>
      </c>
      <c r="E69" s="46">
        <v>0</v>
      </c>
      <c r="F69" s="46">
        <v>700</v>
      </c>
      <c r="G69" s="46">
        <v>48</v>
      </c>
      <c r="H69" s="46">
        <v>6</v>
      </c>
      <c r="I69" s="46">
        <v>506</v>
      </c>
      <c r="J69" s="46" t="s">
        <v>420</v>
      </c>
      <c r="K69" s="46" t="s">
        <v>426</v>
      </c>
      <c r="L69" s="46" t="s">
        <v>312</v>
      </c>
      <c r="M69" s="46" t="s">
        <v>303</v>
      </c>
      <c r="N69" s="46" t="s">
        <v>304</v>
      </c>
      <c r="O69" s="46" t="s">
        <v>412</v>
      </c>
      <c r="P69" s="46" t="s">
        <v>306</v>
      </c>
      <c r="Q69" s="54" t="s">
        <v>307</v>
      </c>
      <c r="R69" s="46">
        <v>262</v>
      </c>
      <c r="S69" s="46">
        <v>350</v>
      </c>
      <c r="T69" s="46">
        <v>4</v>
      </c>
      <c r="U69" s="46">
        <v>16</v>
      </c>
      <c r="V69" s="46">
        <v>46100</v>
      </c>
      <c r="W69" s="46" t="s">
        <v>267</v>
      </c>
      <c r="X69" s="46" t="s">
        <v>309</v>
      </c>
      <c r="Y69" s="46" t="s">
        <v>309</v>
      </c>
    </row>
    <row r="70" spans="1:25">
      <c r="A70" s="46">
        <v>46132</v>
      </c>
      <c r="B70" s="46">
        <v>46100</v>
      </c>
      <c r="C70" s="46" t="s">
        <v>410</v>
      </c>
      <c r="D70" s="46">
        <v>5</v>
      </c>
      <c r="E70" s="46">
        <v>1</v>
      </c>
      <c r="F70" s="46">
        <v>900</v>
      </c>
      <c r="G70" s="46">
        <v>48</v>
      </c>
      <c r="H70" s="46">
        <v>6</v>
      </c>
      <c r="I70" s="46">
        <v>530</v>
      </c>
      <c r="J70" s="46" t="s">
        <v>420</v>
      </c>
      <c r="K70" s="46" t="s">
        <v>426</v>
      </c>
      <c r="L70" s="46" t="s">
        <v>312</v>
      </c>
      <c r="M70" s="46" t="s">
        <v>303</v>
      </c>
      <c r="N70" s="46" t="s">
        <v>304</v>
      </c>
      <c r="O70" s="46" t="s">
        <v>412</v>
      </c>
      <c r="P70" s="46" t="s">
        <v>306</v>
      </c>
      <c r="Q70" s="54" t="s">
        <v>307</v>
      </c>
      <c r="R70" s="46">
        <v>269</v>
      </c>
      <c r="S70" s="46">
        <v>350</v>
      </c>
      <c r="T70" s="46">
        <v>4</v>
      </c>
      <c r="U70" s="46">
        <v>15</v>
      </c>
      <c r="V70" s="46">
        <v>46100</v>
      </c>
      <c r="W70" s="46" t="s">
        <v>267</v>
      </c>
      <c r="X70" s="46" t="s">
        <v>309</v>
      </c>
      <c r="Y70" s="46" t="s">
        <v>309</v>
      </c>
    </row>
    <row r="71" spans="1:25">
      <c r="A71" s="46">
        <v>46133</v>
      </c>
      <c r="B71" s="46">
        <v>46100</v>
      </c>
      <c r="C71" s="46" t="s">
        <v>410</v>
      </c>
      <c r="D71" s="46">
        <v>5</v>
      </c>
      <c r="E71" s="46">
        <v>2</v>
      </c>
      <c r="F71" s="46">
        <v>1200</v>
      </c>
      <c r="G71" s="46">
        <v>48</v>
      </c>
      <c r="H71" s="46">
        <v>6</v>
      </c>
      <c r="I71" s="46">
        <v>553</v>
      </c>
      <c r="J71" s="46" t="s">
        <v>420</v>
      </c>
      <c r="K71" s="46" t="s">
        <v>426</v>
      </c>
      <c r="L71" s="46" t="s">
        <v>312</v>
      </c>
      <c r="M71" s="46" t="s">
        <v>303</v>
      </c>
      <c r="N71" s="46" t="s">
        <v>304</v>
      </c>
      <c r="O71" s="46" t="s">
        <v>412</v>
      </c>
      <c r="P71" s="46" t="s">
        <v>306</v>
      </c>
      <c r="Q71" s="54" t="s">
        <v>307</v>
      </c>
      <c r="R71" s="46">
        <v>276</v>
      </c>
      <c r="S71" s="46">
        <v>350</v>
      </c>
      <c r="T71" s="46">
        <v>4</v>
      </c>
      <c r="U71" s="46">
        <v>14</v>
      </c>
      <c r="V71" s="46">
        <v>46100</v>
      </c>
      <c r="W71" s="46" t="s">
        <v>267</v>
      </c>
      <c r="X71" s="46" t="s">
        <v>309</v>
      </c>
      <c r="Y71" s="46" t="s">
        <v>309</v>
      </c>
    </row>
    <row r="72" spans="1:25">
      <c r="A72" s="46">
        <v>46134</v>
      </c>
      <c r="B72" s="46">
        <v>46100</v>
      </c>
      <c r="C72" s="46" t="s">
        <v>410</v>
      </c>
      <c r="D72" s="46">
        <v>5</v>
      </c>
      <c r="E72" s="46">
        <v>3</v>
      </c>
      <c r="F72" s="46">
        <v>1800</v>
      </c>
      <c r="G72" s="46">
        <v>48</v>
      </c>
      <c r="H72" s="46">
        <v>6</v>
      </c>
      <c r="I72" s="46">
        <v>578</v>
      </c>
      <c r="J72" s="46" t="s">
        <v>420</v>
      </c>
      <c r="K72" s="46" t="s">
        <v>426</v>
      </c>
      <c r="L72" s="46" t="s">
        <v>312</v>
      </c>
      <c r="M72" s="46" t="s">
        <v>303</v>
      </c>
      <c r="N72" s="46" t="s">
        <v>304</v>
      </c>
      <c r="O72" s="46" t="s">
        <v>412</v>
      </c>
      <c r="P72" s="46" t="s">
        <v>306</v>
      </c>
      <c r="Q72" s="54" t="s">
        <v>307</v>
      </c>
      <c r="R72" s="46">
        <v>283</v>
      </c>
      <c r="S72" s="46">
        <v>350</v>
      </c>
      <c r="T72" s="46">
        <v>4</v>
      </c>
      <c r="U72" s="46">
        <v>13</v>
      </c>
      <c r="V72" s="46">
        <v>46100</v>
      </c>
      <c r="W72" s="46" t="s">
        <v>267</v>
      </c>
      <c r="X72" s="46" t="s">
        <v>309</v>
      </c>
      <c r="Y72" s="46" t="s">
        <v>309</v>
      </c>
    </row>
    <row r="73" spans="1:25">
      <c r="A73" s="46">
        <v>46135</v>
      </c>
      <c r="B73" s="46">
        <v>46100</v>
      </c>
      <c r="C73" s="46" t="s">
        <v>410</v>
      </c>
      <c r="D73" s="46">
        <v>5</v>
      </c>
      <c r="E73" s="46">
        <v>4</v>
      </c>
      <c r="F73" s="46">
        <v>2500</v>
      </c>
      <c r="G73" s="46">
        <v>48</v>
      </c>
      <c r="H73" s="46">
        <v>6</v>
      </c>
      <c r="I73" s="46">
        <v>601</v>
      </c>
      <c r="J73" s="46" t="s">
        <v>420</v>
      </c>
      <c r="K73" s="46" t="s">
        <v>426</v>
      </c>
      <c r="L73" s="46" t="s">
        <v>312</v>
      </c>
      <c r="M73" s="46" t="s">
        <v>303</v>
      </c>
      <c r="N73" s="46" t="s">
        <v>304</v>
      </c>
      <c r="O73" s="46" t="s">
        <v>412</v>
      </c>
      <c r="P73" s="46" t="s">
        <v>306</v>
      </c>
      <c r="Q73" s="54" t="s">
        <v>307</v>
      </c>
      <c r="R73" s="46">
        <v>290</v>
      </c>
      <c r="S73" s="46">
        <v>350</v>
      </c>
      <c r="T73" s="46">
        <v>4</v>
      </c>
      <c r="U73" s="46">
        <v>12</v>
      </c>
      <c r="V73" s="46">
        <v>46100</v>
      </c>
      <c r="W73" s="46" t="s">
        <v>267</v>
      </c>
      <c r="X73" s="46" t="s">
        <v>309</v>
      </c>
      <c r="Y73" s="46" t="s">
        <v>309</v>
      </c>
    </row>
    <row r="74" spans="1:25">
      <c r="A74" s="46">
        <v>46136</v>
      </c>
      <c r="B74" s="46">
        <v>46100</v>
      </c>
      <c r="C74" s="46" t="s">
        <v>410</v>
      </c>
      <c r="D74" s="46">
        <v>5</v>
      </c>
      <c r="E74" s="46">
        <v>5</v>
      </c>
      <c r="F74" s="46">
        <v>0</v>
      </c>
      <c r="G74" s="46">
        <v>0</v>
      </c>
      <c r="H74" s="46">
        <v>6</v>
      </c>
      <c r="I74" s="46">
        <v>625</v>
      </c>
      <c r="J74" s="46" t="s">
        <v>420</v>
      </c>
      <c r="K74" s="46" t="s">
        <v>426</v>
      </c>
      <c r="L74" s="46" t="s">
        <v>312</v>
      </c>
      <c r="M74" s="46" t="s">
        <v>303</v>
      </c>
      <c r="N74" s="46" t="s">
        <v>304</v>
      </c>
      <c r="O74" s="46" t="s">
        <v>412</v>
      </c>
      <c r="P74" s="46" t="s">
        <v>306</v>
      </c>
      <c r="Q74" s="54" t="s">
        <v>307</v>
      </c>
      <c r="R74" s="46">
        <v>297</v>
      </c>
      <c r="S74" s="46">
        <v>350</v>
      </c>
      <c r="T74" s="46">
        <v>4</v>
      </c>
      <c r="U74" s="46">
        <v>11</v>
      </c>
      <c r="V74" s="46">
        <v>46100</v>
      </c>
      <c r="W74" s="46" t="s">
        <v>267</v>
      </c>
      <c r="X74" s="46" t="s">
        <v>309</v>
      </c>
      <c r="Y74" s="46" t="s">
        <v>309</v>
      </c>
    </row>
    <row r="75" spans="1:25">
      <c r="A75" s="46">
        <v>46201</v>
      </c>
      <c r="B75" s="46">
        <v>46200</v>
      </c>
      <c r="C75" s="46" t="s">
        <v>410</v>
      </c>
      <c r="D75" s="46">
        <v>0</v>
      </c>
      <c r="E75" s="46">
        <v>0</v>
      </c>
      <c r="F75" s="46">
        <v>15</v>
      </c>
      <c r="G75" s="46">
        <v>1</v>
      </c>
      <c r="H75" s="46">
        <v>3</v>
      </c>
      <c r="I75" s="46">
        <v>114</v>
      </c>
      <c r="J75" s="46" t="s">
        <v>427</v>
      </c>
      <c r="K75" s="46" t="s">
        <v>428</v>
      </c>
      <c r="L75" s="46" t="s">
        <v>328</v>
      </c>
      <c r="M75" s="46" t="s">
        <v>303</v>
      </c>
      <c r="N75" s="46" t="s">
        <v>304</v>
      </c>
      <c r="O75" s="46" t="s">
        <v>412</v>
      </c>
      <c r="P75" s="46" t="s">
        <v>306</v>
      </c>
      <c r="Q75" s="54" t="s">
        <v>307</v>
      </c>
      <c r="R75" s="46">
        <v>90</v>
      </c>
      <c r="S75" s="46">
        <v>120</v>
      </c>
      <c r="T75" s="46">
        <v>3</v>
      </c>
      <c r="U75" s="46">
        <v>27</v>
      </c>
      <c r="V75" s="46">
        <v>46200</v>
      </c>
      <c r="W75" s="46" t="s">
        <v>267</v>
      </c>
      <c r="X75" s="46" t="s">
        <v>309</v>
      </c>
      <c r="Y75" s="46" t="s">
        <v>309</v>
      </c>
    </row>
    <row r="76" spans="1:25">
      <c r="A76" s="46">
        <v>46202</v>
      </c>
      <c r="B76" s="46">
        <v>46200</v>
      </c>
      <c r="C76" s="46" t="s">
        <v>410</v>
      </c>
      <c r="D76" s="46">
        <v>0</v>
      </c>
      <c r="E76" s="46">
        <v>1</v>
      </c>
      <c r="F76" s="46">
        <v>15</v>
      </c>
      <c r="G76" s="46">
        <v>1</v>
      </c>
      <c r="H76" s="46">
        <v>3</v>
      </c>
      <c r="I76" s="46">
        <v>124</v>
      </c>
      <c r="J76" s="46" t="s">
        <v>427</v>
      </c>
      <c r="K76" s="46" t="s">
        <v>428</v>
      </c>
      <c r="L76" s="46" t="s">
        <v>328</v>
      </c>
      <c r="M76" s="46" t="s">
        <v>303</v>
      </c>
      <c r="N76" s="46" t="s">
        <v>304</v>
      </c>
      <c r="O76" s="46" t="s">
        <v>412</v>
      </c>
      <c r="P76" s="46" t="s">
        <v>306</v>
      </c>
      <c r="Q76" s="54" t="s">
        <v>307</v>
      </c>
      <c r="R76" s="46">
        <v>95</v>
      </c>
      <c r="S76" s="46">
        <v>120</v>
      </c>
      <c r="T76" s="46">
        <v>3</v>
      </c>
      <c r="U76" s="46">
        <v>27</v>
      </c>
      <c r="V76" s="46">
        <v>46200</v>
      </c>
      <c r="W76" s="46" t="s">
        <v>267</v>
      </c>
      <c r="X76" s="46" t="s">
        <v>309</v>
      </c>
      <c r="Y76" s="46" t="s">
        <v>309</v>
      </c>
    </row>
    <row r="77" spans="1:25">
      <c r="A77" s="46">
        <v>46203</v>
      </c>
      <c r="B77" s="46">
        <v>46200</v>
      </c>
      <c r="C77" s="46" t="s">
        <v>410</v>
      </c>
      <c r="D77" s="46">
        <v>0</v>
      </c>
      <c r="E77" s="46">
        <v>2</v>
      </c>
      <c r="F77" s="46">
        <v>15</v>
      </c>
      <c r="G77" s="46">
        <v>1</v>
      </c>
      <c r="H77" s="46">
        <v>3</v>
      </c>
      <c r="I77" s="46">
        <v>133</v>
      </c>
      <c r="J77" s="46" t="s">
        <v>427</v>
      </c>
      <c r="K77" s="46" t="s">
        <v>428</v>
      </c>
      <c r="L77" s="46" t="s">
        <v>328</v>
      </c>
      <c r="M77" s="46" t="s">
        <v>303</v>
      </c>
      <c r="N77" s="46" t="s">
        <v>304</v>
      </c>
      <c r="O77" s="46" t="s">
        <v>412</v>
      </c>
      <c r="P77" s="46" t="s">
        <v>306</v>
      </c>
      <c r="Q77" s="54" t="s">
        <v>307</v>
      </c>
      <c r="R77" s="46">
        <v>100</v>
      </c>
      <c r="S77" s="46">
        <v>120</v>
      </c>
      <c r="T77" s="46">
        <v>3</v>
      </c>
      <c r="U77" s="46">
        <v>27</v>
      </c>
      <c r="V77" s="46">
        <v>46200</v>
      </c>
      <c r="W77" s="46" t="s">
        <v>267</v>
      </c>
      <c r="X77" s="46" t="s">
        <v>309</v>
      </c>
      <c r="Y77" s="46" t="s">
        <v>309</v>
      </c>
    </row>
    <row r="78" spans="1:25">
      <c r="A78" s="46">
        <v>46204</v>
      </c>
      <c r="B78" s="46">
        <v>46200</v>
      </c>
      <c r="C78" s="46" t="s">
        <v>410</v>
      </c>
      <c r="D78" s="46">
        <v>0</v>
      </c>
      <c r="E78" s="46">
        <v>3</v>
      </c>
      <c r="F78" s="46">
        <v>15</v>
      </c>
      <c r="G78" s="46">
        <v>1</v>
      </c>
      <c r="H78" s="46">
        <v>3</v>
      </c>
      <c r="I78" s="46">
        <v>143</v>
      </c>
      <c r="J78" s="46" t="s">
        <v>427</v>
      </c>
      <c r="K78" s="46" t="s">
        <v>428</v>
      </c>
      <c r="L78" s="46" t="s">
        <v>328</v>
      </c>
      <c r="M78" s="46" t="s">
        <v>303</v>
      </c>
      <c r="N78" s="46" t="s">
        <v>304</v>
      </c>
      <c r="O78" s="46" t="s">
        <v>412</v>
      </c>
      <c r="P78" s="46" t="s">
        <v>306</v>
      </c>
      <c r="Q78" s="54" t="s">
        <v>307</v>
      </c>
      <c r="R78" s="46">
        <v>105</v>
      </c>
      <c r="S78" s="46">
        <v>120</v>
      </c>
      <c r="T78" s="46">
        <v>3</v>
      </c>
      <c r="U78" s="46">
        <v>27</v>
      </c>
      <c r="V78" s="46">
        <v>46200</v>
      </c>
      <c r="W78" s="46" t="s">
        <v>267</v>
      </c>
      <c r="X78" s="46" t="s">
        <v>309</v>
      </c>
      <c r="Y78" s="46" t="s">
        <v>309</v>
      </c>
    </row>
    <row r="79" spans="1:25">
      <c r="A79" s="46">
        <v>46205</v>
      </c>
      <c r="B79" s="46">
        <v>46200</v>
      </c>
      <c r="C79" s="46" t="s">
        <v>410</v>
      </c>
      <c r="D79" s="46">
        <v>0</v>
      </c>
      <c r="E79" s="46">
        <v>4</v>
      </c>
      <c r="F79" s="46">
        <v>15</v>
      </c>
      <c r="G79" s="46">
        <v>1</v>
      </c>
      <c r="H79" s="46">
        <v>3</v>
      </c>
      <c r="I79" s="46">
        <v>152</v>
      </c>
      <c r="J79" s="46" t="s">
        <v>427</v>
      </c>
      <c r="K79" s="46" t="s">
        <v>428</v>
      </c>
      <c r="L79" s="46" t="s">
        <v>328</v>
      </c>
      <c r="M79" s="46" t="s">
        <v>303</v>
      </c>
      <c r="N79" s="46" t="s">
        <v>429</v>
      </c>
      <c r="O79" s="46" t="s">
        <v>412</v>
      </c>
      <c r="P79" s="46" t="s">
        <v>306</v>
      </c>
      <c r="Q79" s="54" t="s">
        <v>307</v>
      </c>
      <c r="R79" s="46">
        <v>110</v>
      </c>
      <c r="S79" s="46">
        <v>120</v>
      </c>
      <c r="T79" s="46">
        <v>3</v>
      </c>
      <c r="U79" s="46">
        <v>27</v>
      </c>
      <c r="V79" s="46">
        <v>46200</v>
      </c>
      <c r="W79" s="46" t="s">
        <v>267</v>
      </c>
      <c r="X79" s="46" t="s">
        <v>309</v>
      </c>
      <c r="Y79" s="46" t="s">
        <v>309</v>
      </c>
    </row>
    <row r="80" spans="1:25">
      <c r="A80" s="46">
        <v>46206</v>
      </c>
      <c r="B80" s="46">
        <v>46200</v>
      </c>
      <c r="C80" s="46" t="s">
        <v>410</v>
      </c>
      <c r="D80" s="46">
        <v>0</v>
      </c>
      <c r="E80" s="46">
        <v>5</v>
      </c>
      <c r="F80" s="46">
        <v>35</v>
      </c>
      <c r="G80" s="46">
        <v>1</v>
      </c>
      <c r="H80" s="46">
        <v>3</v>
      </c>
      <c r="I80" s="46">
        <v>162</v>
      </c>
      <c r="J80" s="46" t="s">
        <v>427</v>
      </c>
      <c r="K80" s="46" t="s">
        <v>428</v>
      </c>
      <c r="L80" s="46" t="s">
        <v>328</v>
      </c>
      <c r="M80" s="46" t="s">
        <v>303</v>
      </c>
      <c r="N80" s="46" t="s">
        <v>304</v>
      </c>
      <c r="O80" s="46" t="s">
        <v>412</v>
      </c>
      <c r="P80" s="46" t="s">
        <v>306</v>
      </c>
      <c r="Q80" s="54" t="s">
        <v>307</v>
      </c>
      <c r="R80" s="46">
        <v>115</v>
      </c>
      <c r="S80" s="46">
        <v>120</v>
      </c>
      <c r="T80" s="46">
        <v>3</v>
      </c>
      <c r="U80" s="46">
        <v>25</v>
      </c>
      <c r="V80" s="46">
        <v>46200</v>
      </c>
      <c r="W80" s="46" t="s">
        <v>267</v>
      </c>
      <c r="X80" s="46" t="s">
        <v>309</v>
      </c>
      <c r="Y80" s="46" t="s">
        <v>309</v>
      </c>
    </row>
    <row r="81" spans="1:25">
      <c r="A81" s="46">
        <v>46207</v>
      </c>
      <c r="B81" s="46">
        <v>46200</v>
      </c>
      <c r="C81" s="46" t="s">
        <v>410</v>
      </c>
      <c r="D81" s="46">
        <v>1</v>
      </c>
      <c r="E81" s="46">
        <v>0</v>
      </c>
      <c r="F81" s="46">
        <v>35</v>
      </c>
      <c r="G81" s="46">
        <v>2</v>
      </c>
      <c r="H81" s="46">
        <v>3</v>
      </c>
      <c r="I81" s="46">
        <v>171</v>
      </c>
      <c r="J81" s="46" t="s">
        <v>427</v>
      </c>
      <c r="K81" s="46" t="s">
        <v>430</v>
      </c>
      <c r="L81" s="46" t="s">
        <v>328</v>
      </c>
      <c r="M81" s="46" t="s">
        <v>303</v>
      </c>
      <c r="N81" s="46" t="s">
        <v>304</v>
      </c>
      <c r="O81" s="46" t="s">
        <v>412</v>
      </c>
      <c r="P81" s="46" t="s">
        <v>306</v>
      </c>
      <c r="Q81" s="54" t="s">
        <v>307</v>
      </c>
      <c r="R81" s="46">
        <v>120</v>
      </c>
      <c r="S81" s="46">
        <v>160</v>
      </c>
      <c r="T81" s="46">
        <v>3.5</v>
      </c>
      <c r="U81" s="46">
        <v>25</v>
      </c>
      <c r="V81" s="46">
        <v>46200</v>
      </c>
      <c r="W81" s="46" t="s">
        <v>267</v>
      </c>
      <c r="X81" s="46" t="s">
        <v>309</v>
      </c>
      <c r="Y81" s="46" t="s">
        <v>309</v>
      </c>
    </row>
    <row r="82" spans="1:25">
      <c r="A82" s="46">
        <v>46208</v>
      </c>
      <c r="B82" s="46">
        <v>46200</v>
      </c>
      <c r="C82" s="46" t="s">
        <v>410</v>
      </c>
      <c r="D82" s="46">
        <v>1</v>
      </c>
      <c r="E82" s="46">
        <v>1</v>
      </c>
      <c r="F82" s="46">
        <v>35</v>
      </c>
      <c r="G82" s="46">
        <v>2</v>
      </c>
      <c r="H82" s="46">
        <v>3</v>
      </c>
      <c r="I82" s="46">
        <v>181</v>
      </c>
      <c r="J82" s="46" t="s">
        <v>427</v>
      </c>
      <c r="K82" s="46" t="s">
        <v>430</v>
      </c>
      <c r="L82" s="46" t="s">
        <v>328</v>
      </c>
      <c r="M82" s="46" t="s">
        <v>303</v>
      </c>
      <c r="N82" s="46" t="s">
        <v>304</v>
      </c>
      <c r="O82" s="46" t="s">
        <v>412</v>
      </c>
      <c r="P82" s="46" t="s">
        <v>306</v>
      </c>
      <c r="Q82" s="54" t="s">
        <v>307</v>
      </c>
      <c r="R82" s="46">
        <v>125</v>
      </c>
      <c r="S82" s="46">
        <v>160</v>
      </c>
      <c r="T82" s="46">
        <v>3.5</v>
      </c>
      <c r="U82" s="46">
        <v>25</v>
      </c>
      <c r="V82" s="46">
        <v>46200</v>
      </c>
      <c r="W82" s="46" t="s">
        <v>267</v>
      </c>
      <c r="X82" s="46" t="s">
        <v>309</v>
      </c>
      <c r="Y82" s="46" t="s">
        <v>309</v>
      </c>
    </row>
    <row r="83" spans="1:25">
      <c r="A83" s="46">
        <v>46209</v>
      </c>
      <c r="B83" s="46">
        <v>46200</v>
      </c>
      <c r="C83" s="46" t="s">
        <v>410</v>
      </c>
      <c r="D83" s="46">
        <v>1</v>
      </c>
      <c r="E83" s="46">
        <v>2</v>
      </c>
      <c r="F83" s="46">
        <v>35</v>
      </c>
      <c r="G83" s="46">
        <v>2</v>
      </c>
      <c r="H83" s="46">
        <v>3</v>
      </c>
      <c r="I83" s="46">
        <v>190</v>
      </c>
      <c r="J83" s="46" t="s">
        <v>427</v>
      </c>
      <c r="K83" s="46" t="s">
        <v>430</v>
      </c>
      <c r="L83" s="46" t="s">
        <v>328</v>
      </c>
      <c r="M83" s="46" t="s">
        <v>303</v>
      </c>
      <c r="N83" s="46" t="s">
        <v>304</v>
      </c>
      <c r="O83" s="46" t="s">
        <v>412</v>
      </c>
      <c r="P83" s="46" t="s">
        <v>306</v>
      </c>
      <c r="Q83" s="54" t="s">
        <v>307</v>
      </c>
      <c r="R83" s="46">
        <v>130</v>
      </c>
      <c r="S83" s="46">
        <v>160</v>
      </c>
      <c r="T83" s="46">
        <v>3.5</v>
      </c>
      <c r="U83" s="46">
        <v>25</v>
      </c>
      <c r="V83" s="46">
        <v>46200</v>
      </c>
      <c r="W83" s="46" t="s">
        <v>267</v>
      </c>
      <c r="X83" s="46" t="s">
        <v>309</v>
      </c>
      <c r="Y83" s="46" t="s">
        <v>309</v>
      </c>
    </row>
    <row r="84" spans="1:25">
      <c r="A84" s="46">
        <v>46210</v>
      </c>
      <c r="B84" s="46">
        <v>46200</v>
      </c>
      <c r="C84" s="46" t="s">
        <v>410</v>
      </c>
      <c r="D84" s="46">
        <v>1</v>
      </c>
      <c r="E84" s="46">
        <v>3</v>
      </c>
      <c r="F84" s="46">
        <v>35</v>
      </c>
      <c r="G84" s="46">
        <v>2</v>
      </c>
      <c r="H84" s="46">
        <v>3</v>
      </c>
      <c r="I84" s="46">
        <v>200</v>
      </c>
      <c r="J84" s="46" t="s">
        <v>427</v>
      </c>
      <c r="K84" s="46" t="s">
        <v>430</v>
      </c>
      <c r="L84" s="46" t="s">
        <v>328</v>
      </c>
      <c r="M84" s="46" t="s">
        <v>303</v>
      </c>
      <c r="N84" s="46" t="s">
        <v>304</v>
      </c>
      <c r="O84" s="46" t="s">
        <v>412</v>
      </c>
      <c r="P84" s="46" t="s">
        <v>306</v>
      </c>
      <c r="Q84" s="54" t="s">
        <v>307</v>
      </c>
      <c r="R84" s="46">
        <v>135</v>
      </c>
      <c r="S84" s="46">
        <v>160</v>
      </c>
      <c r="T84" s="46">
        <v>3.5</v>
      </c>
      <c r="U84" s="46">
        <v>25</v>
      </c>
      <c r="V84" s="46">
        <v>46200</v>
      </c>
      <c r="W84" s="46" t="s">
        <v>267</v>
      </c>
      <c r="X84" s="46" t="s">
        <v>309</v>
      </c>
      <c r="Y84" s="46" t="s">
        <v>309</v>
      </c>
    </row>
    <row r="85" spans="1:25">
      <c r="A85" s="46">
        <v>46211</v>
      </c>
      <c r="B85" s="46">
        <v>46200</v>
      </c>
      <c r="C85" s="46" t="s">
        <v>410</v>
      </c>
      <c r="D85" s="46">
        <v>1</v>
      </c>
      <c r="E85" s="46">
        <v>4</v>
      </c>
      <c r="F85" s="46">
        <v>35</v>
      </c>
      <c r="G85" s="46">
        <v>2</v>
      </c>
      <c r="H85" s="46">
        <v>3</v>
      </c>
      <c r="I85" s="46">
        <v>209</v>
      </c>
      <c r="J85" s="46" t="s">
        <v>427</v>
      </c>
      <c r="K85" s="46" t="s">
        <v>430</v>
      </c>
      <c r="L85" s="46" t="s">
        <v>328</v>
      </c>
      <c r="M85" s="46" t="s">
        <v>303</v>
      </c>
      <c r="N85" s="46" t="s">
        <v>304</v>
      </c>
      <c r="O85" s="46" t="s">
        <v>412</v>
      </c>
      <c r="P85" s="46" t="s">
        <v>306</v>
      </c>
      <c r="Q85" s="54" t="s">
        <v>307</v>
      </c>
      <c r="R85" s="46">
        <v>140</v>
      </c>
      <c r="S85" s="46">
        <v>160</v>
      </c>
      <c r="T85" s="46">
        <v>3.5</v>
      </c>
      <c r="U85" s="46">
        <v>23</v>
      </c>
      <c r="V85" s="46">
        <v>46200</v>
      </c>
      <c r="W85" s="46" t="s">
        <v>267</v>
      </c>
      <c r="X85" s="46" t="s">
        <v>309</v>
      </c>
      <c r="Y85" s="46" t="s">
        <v>309</v>
      </c>
    </row>
    <row r="86" spans="1:25">
      <c r="A86" s="46">
        <v>46212</v>
      </c>
      <c r="B86" s="46">
        <v>46200</v>
      </c>
      <c r="C86" s="46" t="s">
        <v>410</v>
      </c>
      <c r="D86" s="46">
        <v>1</v>
      </c>
      <c r="E86" s="46">
        <v>5</v>
      </c>
      <c r="F86" s="46">
        <v>70</v>
      </c>
      <c r="G86" s="46">
        <v>2</v>
      </c>
      <c r="H86" s="46">
        <v>3</v>
      </c>
      <c r="I86" s="46">
        <v>219</v>
      </c>
      <c r="J86" s="46" t="s">
        <v>427</v>
      </c>
      <c r="K86" s="46" t="s">
        <v>430</v>
      </c>
      <c r="L86" s="46" t="s">
        <v>328</v>
      </c>
      <c r="M86" s="46" t="s">
        <v>303</v>
      </c>
      <c r="N86" s="46" t="s">
        <v>304</v>
      </c>
      <c r="O86" s="46" t="s">
        <v>412</v>
      </c>
      <c r="P86" s="46" t="s">
        <v>306</v>
      </c>
      <c r="Q86" s="54" t="s">
        <v>307</v>
      </c>
      <c r="R86" s="46">
        <v>145</v>
      </c>
      <c r="S86" s="46">
        <v>160</v>
      </c>
      <c r="T86" s="46">
        <v>3.5</v>
      </c>
      <c r="U86" s="46">
        <v>23</v>
      </c>
      <c r="V86" s="46">
        <v>46200</v>
      </c>
      <c r="W86" s="46" t="s">
        <v>267</v>
      </c>
      <c r="X86" s="46" t="s">
        <v>309</v>
      </c>
      <c r="Y86" s="46" t="s">
        <v>309</v>
      </c>
    </row>
    <row r="87" spans="1:25">
      <c r="A87" s="46">
        <v>46213</v>
      </c>
      <c r="B87" s="46">
        <v>46200</v>
      </c>
      <c r="C87" s="46" t="s">
        <v>410</v>
      </c>
      <c r="D87" s="46">
        <v>2</v>
      </c>
      <c r="E87" s="46">
        <v>0</v>
      </c>
      <c r="F87" s="46">
        <v>70</v>
      </c>
      <c r="G87" s="46">
        <v>4</v>
      </c>
      <c r="H87" s="46">
        <v>3</v>
      </c>
      <c r="I87" s="46">
        <v>238</v>
      </c>
      <c r="J87" s="46" t="s">
        <v>427</v>
      </c>
      <c r="K87" s="46" t="s">
        <v>431</v>
      </c>
      <c r="L87" s="46" t="s">
        <v>328</v>
      </c>
      <c r="M87" s="46" t="s">
        <v>303</v>
      </c>
      <c r="N87" s="46" t="s">
        <v>304</v>
      </c>
      <c r="O87" s="46" t="s">
        <v>412</v>
      </c>
      <c r="P87" s="46" t="s">
        <v>306</v>
      </c>
      <c r="Q87" s="54" t="s">
        <v>307</v>
      </c>
      <c r="R87" s="46">
        <v>150</v>
      </c>
      <c r="S87" s="46">
        <v>200</v>
      </c>
      <c r="T87" s="46">
        <v>4</v>
      </c>
      <c r="U87" s="46">
        <v>23</v>
      </c>
      <c r="V87" s="46">
        <v>46200</v>
      </c>
      <c r="W87" s="46" t="s">
        <v>267</v>
      </c>
      <c r="X87" s="46" t="s">
        <v>309</v>
      </c>
      <c r="Y87" s="46" t="s">
        <v>309</v>
      </c>
    </row>
    <row r="88" spans="1:25">
      <c r="A88" s="46">
        <v>46214</v>
      </c>
      <c r="B88" s="46">
        <v>46200</v>
      </c>
      <c r="C88" s="46" t="s">
        <v>410</v>
      </c>
      <c r="D88" s="46">
        <v>2</v>
      </c>
      <c r="E88" s="46">
        <v>1</v>
      </c>
      <c r="F88" s="46">
        <v>70</v>
      </c>
      <c r="G88" s="46">
        <v>4</v>
      </c>
      <c r="H88" s="46">
        <v>3</v>
      </c>
      <c r="I88" s="46">
        <v>257</v>
      </c>
      <c r="J88" s="46" t="s">
        <v>427</v>
      </c>
      <c r="K88" s="46" t="s">
        <v>431</v>
      </c>
      <c r="L88" s="46" t="s">
        <v>328</v>
      </c>
      <c r="M88" s="46" t="s">
        <v>303</v>
      </c>
      <c r="N88" s="46" t="s">
        <v>304</v>
      </c>
      <c r="O88" s="46" t="s">
        <v>412</v>
      </c>
      <c r="P88" s="46" t="s">
        <v>306</v>
      </c>
      <c r="Q88" s="54" t="s">
        <v>307</v>
      </c>
      <c r="R88" s="46">
        <v>155</v>
      </c>
      <c r="S88" s="46">
        <v>200</v>
      </c>
      <c r="T88" s="46">
        <v>4</v>
      </c>
      <c r="U88" s="46">
        <v>23</v>
      </c>
      <c r="V88" s="46">
        <v>46200</v>
      </c>
      <c r="W88" s="46" t="s">
        <v>267</v>
      </c>
      <c r="X88" s="46" t="s">
        <v>309</v>
      </c>
      <c r="Y88" s="46" t="s">
        <v>309</v>
      </c>
    </row>
    <row r="89" spans="1:25">
      <c r="A89" s="46">
        <v>46215</v>
      </c>
      <c r="B89" s="46">
        <v>46200</v>
      </c>
      <c r="C89" s="46" t="s">
        <v>410</v>
      </c>
      <c r="D89" s="46">
        <v>2</v>
      </c>
      <c r="E89" s="46">
        <v>2</v>
      </c>
      <c r="F89" s="46">
        <v>70</v>
      </c>
      <c r="G89" s="46">
        <v>4</v>
      </c>
      <c r="H89" s="46">
        <v>3</v>
      </c>
      <c r="I89" s="46">
        <v>276</v>
      </c>
      <c r="J89" s="46" t="s">
        <v>427</v>
      </c>
      <c r="K89" s="46" t="s">
        <v>431</v>
      </c>
      <c r="L89" s="46" t="s">
        <v>328</v>
      </c>
      <c r="M89" s="46" t="s">
        <v>303</v>
      </c>
      <c r="N89" s="46" t="s">
        <v>304</v>
      </c>
      <c r="O89" s="46" t="s">
        <v>412</v>
      </c>
      <c r="P89" s="46" t="s">
        <v>306</v>
      </c>
      <c r="Q89" s="54" t="s">
        <v>307</v>
      </c>
      <c r="R89" s="46">
        <v>160</v>
      </c>
      <c r="S89" s="46">
        <v>200</v>
      </c>
      <c r="T89" s="46">
        <v>4</v>
      </c>
      <c r="U89" s="46">
        <v>23</v>
      </c>
      <c r="V89" s="46">
        <v>46200</v>
      </c>
      <c r="W89" s="46" t="s">
        <v>267</v>
      </c>
      <c r="X89" s="46" t="s">
        <v>309</v>
      </c>
      <c r="Y89" s="46" t="s">
        <v>309</v>
      </c>
    </row>
    <row r="90" spans="1:25">
      <c r="A90" s="46">
        <v>46216</v>
      </c>
      <c r="B90" s="46">
        <v>46200</v>
      </c>
      <c r="C90" s="46" t="s">
        <v>410</v>
      </c>
      <c r="D90" s="46">
        <v>2</v>
      </c>
      <c r="E90" s="46">
        <v>3</v>
      </c>
      <c r="F90" s="46">
        <v>70</v>
      </c>
      <c r="G90" s="46">
        <v>4</v>
      </c>
      <c r="H90" s="46">
        <v>3</v>
      </c>
      <c r="I90" s="46">
        <v>295</v>
      </c>
      <c r="J90" s="46" t="s">
        <v>427</v>
      </c>
      <c r="K90" s="46" t="s">
        <v>431</v>
      </c>
      <c r="L90" s="46" t="s">
        <v>328</v>
      </c>
      <c r="M90" s="46" t="s">
        <v>303</v>
      </c>
      <c r="N90" s="46" t="s">
        <v>304</v>
      </c>
      <c r="O90" s="46" t="s">
        <v>412</v>
      </c>
      <c r="P90" s="46" t="s">
        <v>306</v>
      </c>
      <c r="Q90" s="54" t="s">
        <v>307</v>
      </c>
      <c r="R90" s="46">
        <v>165</v>
      </c>
      <c r="S90" s="46">
        <v>200</v>
      </c>
      <c r="T90" s="46">
        <v>4</v>
      </c>
      <c r="U90" s="46">
        <v>20</v>
      </c>
      <c r="V90" s="46">
        <v>46200</v>
      </c>
      <c r="W90" s="46" t="s">
        <v>267</v>
      </c>
      <c r="X90" s="46" t="s">
        <v>309</v>
      </c>
      <c r="Y90" s="46" t="s">
        <v>309</v>
      </c>
    </row>
    <row r="91" spans="1:25">
      <c r="A91" s="46">
        <v>46217</v>
      </c>
      <c r="B91" s="46">
        <v>46200</v>
      </c>
      <c r="C91" s="46" t="s">
        <v>410</v>
      </c>
      <c r="D91" s="46">
        <v>2</v>
      </c>
      <c r="E91" s="46">
        <v>4</v>
      </c>
      <c r="F91" s="46">
        <v>70</v>
      </c>
      <c r="G91" s="46">
        <v>4</v>
      </c>
      <c r="H91" s="46">
        <v>3</v>
      </c>
      <c r="I91" s="46">
        <v>314</v>
      </c>
      <c r="J91" s="46" t="s">
        <v>427</v>
      </c>
      <c r="K91" s="46" t="s">
        <v>431</v>
      </c>
      <c r="L91" s="46" t="s">
        <v>328</v>
      </c>
      <c r="M91" s="46" t="s">
        <v>303</v>
      </c>
      <c r="N91" s="46" t="s">
        <v>304</v>
      </c>
      <c r="O91" s="46" t="s">
        <v>412</v>
      </c>
      <c r="P91" s="46" t="s">
        <v>306</v>
      </c>
      <c r="Q91" s="54" t="s">
        <v>307</v>
      </c>
      <c r="R91" s="46">
        <v>170</v>
      </c>
      <c r="S91" s="46">
        <v>200</v>
      </c>
      <c r="T91" s="46">
        <v>4</v>
      </c>
      <c r="U91" s="46">
        <v>20</v>
      </c>
      <c r="V91" s="46">
        <v>46200</v>
      </c>
      <c r="W91" s="46" t="s">
        <v>267</v>
      </c>
      <c r="X91" s="46" t="s">
        <v>309</v>
      </c>
      <c r="Y91" s="46" t="s">
        <v>309</v>
      </c>
    </row>
    <row r="92" spans="1:25">
      <c r="A92" s="46">
        <v>46218</v>
      </c>
      <c r="B92" s="46">
        <v>46200</v>
      </c>
      <c r="C92" s="46" t="s">
        <v>410</v>
      </c>
      <c r="D92" s="46">
        <v>2</v>
      </c>
      <c r="E92" s="46">
        <v>5</v>
      </c>
      <c r="F92" s="46">
        <v>100</v>
      </c>
      <c r="G92" s="46">
        <v>4</v>
      </c>
      <c r="H92" s="46">
        <v>4</v>
      </c>
      <c r="I92" s="46">
        <v>333</v>
      </c>
      <c r="J92" s="46" t="s">
        <v>427</v>
      </c>
      <c r="K92" s="46" t="s">
        <v>431</v>
      </c>
      <c r="L92" s="46" t="s">
        <v>328</v>
      </c>
      <c r="M92" s="46" t="s">
        <v>303</v>
      </c>
      <c r="N92" s="46" t="s">
        <v>304</v>
      </c>
      <c r="O92" s="46" t="s">
        <v>412</v>
      </c>
      <c r="P92" s="46" t="s">
        <v>306</v>
      </c>
      <c r="Q92" s="54" t="s">
        <v>307</v>
      </c>
      <c r="R92" s="46">
        <v>175</v>
      </c>
      <c r="S92" s="46">
        <v>200</v>
      </c>
      <c r="T92" s="46">
        <v>4</v>
      </c>
      <c r="U92" s="46">
        <v>20</v>
      </c>
      <c r="V92" s="46">
        <v>46200</v>
      </c>
      <c r="W92" s="46" t="s">
        <v>267</v>
      </c>
      <c r="X92" s="46" t="s">
        <v>309</v>
      </c>
      <c r="Y92" s="46" t="s">
        <v>309</v>
      </c>
    </row>
    <row r="93" spans="1:25">
      <c r="A93" s="46">
        <v>46219</v>
      </c>
      <c r="B93" s="46">
        <v>46200</v>
      </c>
      <c r="C93" s="46" t="s">
        <v>410</v>
      </c>
      <c r="D93" s="46">
        <v>3</v>
      </c>
      <c r="E93" s="46">
        <v>0</v>
      </c>
      <c r="F93" s="46">
        <v>100</v>
      </c>
      <c r="G93" s="46">
        <v>8</v>
      </c>
      <c r="H93" s="46">
        <v>4</v>
      </c>
      <c r="I93" s="46">
        <v>361</v>
      </c>
      <c r="J93" s="46" t="s">
        <v>427</v>
      </c>
      <c r="K93" s="46" t="s">
        <v>432</v>
      </c>
      <c r="L93" s="46" t="s">
        <v>328</v>
      </c>
      <c r="M93" s="46" t="s">
        <v>303</v>
      </c>
      <c r="N93" s="46" t="s">
        <v>304</v>
      </c>
      <c r="O93" s="46" t="s">
        <v>412</v>
      </c>
      <c r="P93" s="46" t="s">
        <v>306</v>
      </c>
      <c r="Q93" s="54" t="s">
        <v>307</v>
      </c>
      <c r="R93" s="46">
        <v>180</v>
      </c>
      <c r="S93" s="46">
        <v>240</v>
      </c>
      <c r="T93" s="46">
        <v>4.5</v>
      </c>
      <c r="U93" s="46">
        <v>20</v>
      </c>
      <c r="V93" s="46">
        <v>46200</v>
      </c>
      <c r="W93" s="46" t="s">
        <v>267</v>
      </c>
      <c r="X93" s="46" t="s">
        <v>309</v>
      </c>
      <c r="Y93" s="46" t="s">
        <v>309</v>
      </c>
    </row>
    <row r="94" spans="1:25">
      <c r="A94" s="46">
        <v>46220</v>
      </c>
      <c r="B94" s="46">
        <v>46200</v>
      </c>
      <c r="C94" s="46" t="s">
        <v>410</v>
      </c>
      <c r="D94" s="46">
        <v>3</v>
      </c>
      <c r="E94" s="46">
        <v>1</v>
      </c>
      <c r="F94" s="46">
        <v>100</v>
      </c>
      <c r="G94" s="46">
        <v>8</v>
      </c>
      <c r="H94" s="46">
        <v>4</v>
      </c>
      <c r="I94" s="46">
        <v>390</v>
      </c>
      <c r="J94" s="46" t="s">
        <v>427</v>
      </c>
      <c r="K94" s="46" t="s">
        <v>432</v>
      </c>
      <c r="L94" s="46" t="s">
        <v>328</v>
      </c>
      <c r="M94" s="46" t="s">
        <v>303</v>
      </c>
      <c r="N94" s="46" t="s">
        <v>304</v>
      </c>
      <c r="O94" s="46" t="s">
        <v>412</v>
      </c>
      <c r="P94" s="46" t="s">
        <v>306</v>
      </c>
      <c r="Q94" s="54" t="s">
        <v>307</v>
      </c>
      <c r="R94" s="46">
        <v>185</v>
      </c>
      <c r="S94" s="46">
        <v>240</v>
      </c>
      <c r="T94" s="46">
        <v>4.5</v>
      </c>
      <c r="U94" s="46">
        <v>20</v>
      </c>
      <c r="V94" s="46">
        <v>46200</v>
      </c>
      <c r="W94" s="46" t="s">
        <v>267</v>
      </c>
      <c r="X94" s="46" t="s">
        <v>309</v>
      </c>
      <c r="Y94" s="46" t="s">
        <v>309</v>
      </c>
    </row>
    <row r="95" spans="1:25">
      <c r="A95" s="46">
        <v>46221</v>
      </c>
      <c r="B95" s="46">
        <v>46200</v>
      </c>
      <c r="C95" s="46" t="s">
        <v>410</v>
      </c>
      <c r="D95" s="46">
        <v>3</v>
      </c>
      <c r="E95" s="46">
        <v>2</v>
      </c>
      <c r="F95" s="46">
        <v>100</v>
      </c>
      <c r="G95" s="46">
        <v>8</v>
      </c>
      <c r="H95" s="46">
        <v>4</v>
      </c>
      <c r="I95" s="46">
        <v>418</v>
      </c>
      <c r="J95" s="46" t="s">
        <v>427</v>
      </c>
      <c r="K95" s="46" t="s">
        <v>432</v>
      </c>
      <c r="L95" s="46" t="s">
        <v>328</v>
      </c>
      <c r="M95" s="46" t="s">
        <v>303</v>
      </c>
      <c r="N95" s="46" t="s">
        <v>304</v>
      </c>
      <c r="O95" s="46" t="s">
        <v>412</v>
      </c>
      <c r="P95" s="46" t="s">
        <v>306</v>
      </c>
      <c r="Q95" s="54" t="s">
        <v>307</v>
      </c>
      <c r="R95" s="46">
        <v>190</v>
      </c>
      <c r="S95" s="46">
        <v>240</v>
      </c>
      <c r="T95" s="46">
        <v>4.5</v>
      </c>
      <c r="U95" s="46">
        <v>18</v>
      </c>
      <c r="V95" s="46">
        <v>46200</v>
      </c>
      <c r="W95" s="46" t="s">
        <v>267</v>
      </c>
      <c r="X95" s="46" t="s">
        <v>309</v>
      </c>
      <c r="Y95" s="46" t="s">
        <v>309</v>
      </c>
    </row>
    <row r="96" spans="1:25">
      <c r="A96" s="46">
        <v>46222</v>
      </c>
      <c r="B96" s="46">
        <v>46200</v>
      </c>
      <c r="C96" s="46" t="s">
        <v>410</v>
      </c>
      <c r="D96" s="46">
        <v>3</v>
      </c>
      <c r="E96" s="46">
        <v>3</v>
      </c>
      <c r="F96" s="46">
        <v>100</v>
      </c>
      <c r="G96" s="46">
        <v>8</v>
      </c>
      <c r="H96" s="46">
        <v>4</v>
      </c>
      <c r="I96" s="46">
        <v>447</v>
      </c>
      <c r="J96" s="46" t="s">
        <v>427</v>
      </c>
      <c r="K96" s="46" t="s">
        <v>432</v>
      </c>
      <c r="L96" s="46" t="s">
        <v>328</v>
      </c>
      <c r="M96" s="46" t="s">
        <v>303</v>
      </c>
      <c r="N96" s="46" t="s">
        <v>304</v>
      </c>
      <c r="O96" s="46" t="s">
        <v>412</v>
      </c>
      <c r="P96" s="46" t="s">
        <v>306</v>
      </c>
      <c r="Q96" s="54" t="s">
        <v>307</v>
      </c>
      <c r="R96" s="46">
        <v>195</v>
      </c>
      <c r="S96" s="46">
        <v>240</v>
      </c>
      <c r="T96" s="46">
        <v>4.5</v>
      </c>
      <c r="U96" s="46">
        <v>18</v>
      </c>
      <c r="V96" s="46">
        <v>46200</v>
      </c>
      <c r="W96" s="46" t="s">
        <v>267</v>
      </c>
      <c r="X96" s="46" t="s">
        <v>309</v>
      </c>
      <c r="Y96" s="46" t="s">
        <v>309</v>
      </c>
    </row>
    <row r="97" spans="1:25">
      <c r="A97" s="46">
        <v>46223</v>
      </c>
      <c r="B97" s="46">
        <v>46200</v>
      </c>
      <c r="C97" s="46" t="s">
        <v>410</v>
      </c>
      <c r="D97" s="46">
        <v>3</v>
      </c>
      <c r="E97" s="46">
        <v>4</v>
      </c>
      <c r="F97" s="46">
        <v>100</v>
      </c>
      <c r="G97" s="46">
        <v>8</v>
      </c>
      <c r="H97" s="46">
        <v>4</v>
      </c>
      <c r="I97" s="46">
        <v>475</v>
      </c>
      <c r="J97" s="46" t="s">
        <v>427</v>
      </c>
      <c r="K97" s="46" t="s">
        <v>432</v>
      </c>
      <c r="L97" s="46" t="s">
        <v>328</v>
      </c>
      <c r="M97" s="46" t="s">
        <v>303</v>
      </c>
      <c r="N97" s="46" t="s">
        <v>304</v>
      </c>
      <c r="O97" s="46" t="s">
        <v>412</v>
      </c>
      <c r="P97" s="46" t="s">
        <v>306</v>
      </c>
      <c r="Q97" s="54" t="s">
        <v>307</v>
      </c>
      <c r="R97" s="46">
        <v>200</v>
      </c>
      <c r="S97" s="46">
        <v>240</v>
      </c>
      <c r="T97" s="46">
        <v>4.5</v>
      </c>
      <c r="U97" s="46">
        <v>18</v>
      </c>
      <c r="V97" s="46">
        <v>46200</v>
      </c>
      <c r="W97" s="46" t="s">
        <v>267</v>
      </c>
      <c r="X97" s="46" t="s">
        <v>309</v>
      </c>
      <c r="Y97" s="46" t="s">
        <v>309</v>
      </c>
    </row>
    <row r="98" spans="1:25">
      <c r="A98" s="46">
        <v>46224</v>
      </c>
      <c r="B98" s="46">
        <v>46200</v>
      </c>
      <c r="C98" s="46" t="s">
        <v>410</v>
      </c>
      <c r="D98" s="46">
        <v>3</v>
      </c>
      <c r="E98" s="46">
        <v>5</v>
      </c>
      <c r="F98" s="46">
        <v>200</v>
      </c>
      <c r="G98" s="46">
        <v>8</v>
      </c>
      <c r="H98" s="46">
        <v>5</v>
      </c>
      <c r="I98" s="46">
        <v>504</v>
      </c>
      <c r="J98" s="46" t="s">
        <v>427</v>
      </c>
      <c r="K98" s="46" t="s">
        <v>432</v>
      </c>
      <c r="L98" s="46" t="s">
        <v>328</v>
      </c>
      <c r="M98" s="46" t="s">
        <v>303</v>
      </c>
      <c r="N98" s="46" t="s">
        <v>304</v>
      </c>
      <c r="O98" s="46" t="s">
        <v>412</v>
      </c>
      <c r="P98" s="46" t="s">
        <v>306</v>
      </c>
      <c r="Q98" s="54" t="s">
        <v>307</v>
      </c>
      <c r="R98" s="46">
        <v>205</v>
      </c>
      <c r="S98" s="46">
        <v>240</v>
      </c>
      <c r="T98" s="46">
        <v>4.5</v>
      </c>
      <c r="U98" s="46">
        <v>18</v>
      </c>
      <c r="V98" s="46">
        <v>46200</v>
      </c>
      <c r="W98" s="46" t="s">
        <v>267</v>
      </c>
      <c r="X98" s="46" t="s">
        <v>309</v>
      </c>
      <c r="Y98" s="46" t="s">
        <v>309</v>
      </c>
    </row>
    <row r="99" spans="1:25">
      <c r="A99" s="46">
        <v>46225</v>
      </c>
      <c r="B99" s="46">
        <v>46200</v>
      </c>
      <c r="C99" s="46" t="s">
        <v>410</v>
      </c>
      <c r="D99" s="46">
        <v>4</v>
      </c>
      <c r="E99" s="46">
        <v>0</v>
      </c>
      <c r="F99" s="46">
        <v>300</v>
      </c>
      <c r="G99" s="46">
        <v>24</v>
      </c>
      <c r="H99" s="46">
        <v>5</v>
      </c>
      <c r="I99" s="46">
        <v>542</v>
      </c>
      <c r="J99" s="46" t="s">
        <v>427</v>
      </c>
      <c r="K99" s="46" t="s">
        <v>433</v>
      </c>
      <c r="L99" s="46" t="s">
        <v>328</v>
      </c>
      <c r="M99" s="46" t="s">
        <v>303</v>
      </c>
      <c r="N99" s="46" t="s">
        <v>304</v>
      </c>
      <c r="O99" s="46" t="s">
        <v>412</v>
      </c>
      <c r="P99" s="46" t="s">
        <v>306</v>
      </c>
      <c r="Q99" s="54" t="s">
        <v>307</v>
      </c>
      <c r="R99" s="46">
        <v>210</v>
      </c>
      <c r="S99" s="46">
        <v>280</v>
      </c>
      <c r="T99" s="46">
        <v>5</v>
      </c>
      <c r="U99" s="46">
        <v>16</v>
      </c>
      <c r="V99" s="46">
        <v>46200</v>
      </c>
      <c r="W99" s="46" t="s">
        <v>267</v>
      </c>
      <c r="X99" s="46" t="s">
        <v>309</v>
      </c>
      <c r="Y99" s="46" t="s">
        <v>309</v>
      </c>
    </row>
    <row r="100" spans="1:25">
      <c r="A100" s="46">
        <v>46226</v>
      </c>
      <c r="B100" s="46">
        <v>46200</v>
      </c>
      <c r="C100" s="46" t="s">
        <v>410</v>
      </c>
      <c r="D100" s="46">
        <v>4</v>
      </c>
      <c r="E100" s="46">
        <v>1</v>
      </c>
      <c r="F100" s="46">
        <v>400</v>
      </c>
      <c r="G100" s="46">
        <v>24</v>
      </c>
      <c r="H100" s="46">
        <v>5</v>
      </c>
      <c r="I100" s="46">
        <v>580</v>
      </c>
      <c r="J100" s="46" t="s">
        <v>427</v>
      </c>
      <c r="K100" s="46" t="s">
        <v>433</v>
      </c>
      <c r="L100" s="46" t="s">
        <v>328</v>
      </c>
      <c r="M100" s="46" t="s">
        <v>303</v>
      </c>
      <c r="N100" s="46" t="s">
        <v>304</v>
      </c>
      <c r="O100" s="46" t="s">
        <v>412</v>
      </c>
      <c r="P100" s="46" t="s">
        <v>306</v>
      </c>
      <c r="Q100" s="54" t="s">
        <v>307</v>
      </c>
      <c r="R100" s="46">
        <v>215</v>
      </c>
      <c r="S100" s="46">
        <v>280</v>
      </c>
      <c r="T100" s="46">
        <v>5</v>
      </c>
      <c r="U100" s="46">
        <v>16</v>
      </c>
      <c r="V100" s="46">
        <v>46200</v>
      </c>
      <c r="W100" s="46" t="s">
        <v>267</v>
      </c>
      <c r="X100" s="46" t="s">
        <v>309</v>
      </c>
      <c r="Y100" s="46" t="s">
        <v>309</v>
      </c>
    </row>
    <row r="101" spans="1:25">
      <c r="A101" s="46">
        <v>46227</v>
      </c>
      <c r="B101" s="46">
        <v>46200</v>
      </c>
      <c r="C101" s="46" t="s">
        <v>410</v>
      </c>
      <c r="D101" s="46">
        <v>4</v>
      </c>
      <c r="E101" s="46">
        <v>2</v>
      </c>
      <c r="F101" s="46">
        <v>500</v>
      </c>
      <c r="G101" s="46">
        <v>24</v>
      </c>
      <c r="H101" s="46">
        <v>5</v>
      </c>
      <c r="I101" s="46">
        <v>618</v>
      </c>
      <c r="J101" s="46" t="s">
        <v>427</v>
      </c>
      <c r="K101" s="46" t="s">
        <v>433</v>
      </c>
      <c r="L101" s="46" t="s">
        <v>328</v>
      </c>
      <c r="M101" s="46" t="s">
        <v>303</v>
      </c>
      <c r="N101" s="46" t="s">
        <v>304</v>
      </c>
      <c r="O101" s="46" t="s">
        <v>412</v>
      </c>
      <c r="P101" s="46" t="s">
        <v>306</v>
      </c>
      <c r="Q101" s="54" t="s">
        <v>307</v>
      </c>
      <c r="R101" s="46">
        <v>220</v>
      </c>
      <c r="S101" s="46">
        <v>280</v>
      </c>
      <c r="T101" s="46">
        <v>5</v>
      </c>
      <c r="U101" s="46">
        <v>16</v>
      </c>
      <c r="V101" s="46">
        <v>46200</v>
      </c>
      <c r="W101" s="46" t="s">
        <v>267</v>
      </c>
      <c r="X101" s="46" t="s">
        <v>309</v>
      </c>
      <c r="Y101" s="46" t="s">
        <v>309</v>
      </c>
    </row>
    <row r="102" spans="1:25">
      <c r="A102" s="46">
        <v>46228</v>
      </c>
      <c r="B102" s="46">
        <v>46200</v>
      </c>
      <c r="C102" s="46" t="s">
        <v>410</v>
      </c>
      <c r="D102" s="46">
        <v>4</v>
      </c>
      <c r="E102" s="46">
        <v>3</v>
      </c>
      <c r="F102" s="46">
        <v>600</v>
      </c>
      <c r="G102" s="46">
        <v>24</v>
      </c>
      <c r="H102" s="46">
        <v>5</v>
      </c>
      <c r="I102" s="46">
        <v>656</v>
      </c>
      <c r="J102" s="46" t="s">
        <v>427</v>
      </c>
      <c r="K102" s="46" t="s">
        <v>433</v>
      </c>
      <c r="L102" s="46" t="s">
        <v>328</v>
      </c>
      <c r="M102" s="46" t="s">
        <v>303</v>
      </c>
      <c r="N102" s="46" t="s">
        <v>304</v>
      </c>
      <c r="O102" s="46" t="s">
        <v>412</v>
      </c>
      <c r="P102" s="46" t="s">
        <v>306</v>
      </c>
      <c r="Q102" s="54" t="s">
        <v>307</v>
      </c>
      <c r="R102" s="46">
        <v>225</v>
      </c>
      <c r="S102" s="46">
        <v>280</v>
      </c>
      <c r="T102" s="46">
        <v>5</v>
      </c>
      <c r="U102" s="46">
        <v>16</v>
      </c>
      <c r="V102" s="46">
        <v>46200</v>
      </c>
      <c r="W102" s="46" t="s">
        <v>267</v>
      </c>
      <c r="X102" s="46" t="s">
        <v>309</v>
      </c>
      <c r="Y102" s="46" t="s">
        <v>309</v>
      </c>
    </row>
    <row r="103" spans="1:25">
      <c r="A103" s="46">
        <v>46229</v>
      </c>
      <c r="B103" s="46">
        <v>46200</v>
      </c>
      <c r="C103" s="46" t="s">
        <v>410</v>
      </c>
      <c r="D103" s="46">
        <v>4</v>
      </c>
      <c r="E103" s="46">
        <v>4</v>
      </c>
      <c r="F103" s="46">
        <v>700</v>
      </c>
      <c r="G103" s="46">
        <v>24</v>
      </c>
      <c r="H103" s="46">
        <v>5</v>
      </c>
      <c r="I103" s="46">
        <v>694</v>
      </c>
      <c r="J103" s="46" t="s">
        <v>427</v>
      </c>
      <c r="K103" s="46" t="s">
        <v>433</v>
      </c>
      <c r="L103" s="46" t="s">
        <v>328</v>
      </c>
      <c r="M103" s="46" t="s">
        <v>303</v>
      </c>
      <c r="N103" s="46" t="s">
        <v>304</v>
      </c>
      <c r="O103" s="46" t="s">
        <v>412</v>
      </c>
      <c r="P103" s="46" t="s">
        <v>306</v>
      </c>
      <c r="Q103" s="54" t="s">
        <v>307</v>
      </c>
      <c r="R103" s="46">
        <v>230</v>
      </c>
      <c r="S103" s="46">
        <v>280</v>
      </c>
      <c r="T103" s="46">
        <v>5</v>
      </c>
      <c r="U103" s="46">
        <v>14</v>
      </c>
      <c r="V103" s="46">
        <v>46200</v>
      </c>
      <c r="W103" s="46" t="s">
        <v>267</v>
      </c>
      <c r="X103" s="46" t="s">
        <v>309</v>
      </c>
      <c r="Y103" s="46" t="s">
        <v>309</v>
      </c>
    </row>
    <row r="104" spans="1:25">
      <c r="A104" s="46">
        <v>46230</v>
      </c>
      <c r="B104" s="46">
        <v>46200</v>
      </c>
      <c r="C104" s="46" t="s">
        <v>410</v>
      </c>
      <c r="D104" s="46">
        <v>4</v>
      </c>
      <c r="E104" s="46">
        <v>5</v>
      </c>
      <c r="F104" s="46">
        <v>1400</v>
      </c>
      <c r="G104" s="46">
        <v>48</v>
      </c>
      <c r="H104" s="46">
        <v>6</v>
      </c>
      <c r="I104" s="46">
        <v>732</v>
      </c>
      <c r="J104" s="46" t="s">
        <v>427</v>
      </c>
      <c r="K104" s="46" t="s">
        <v>433</v>
      </c>
      <c r="L104" s="46" t="s">
        <v>328</v>
      </c>
      <c r="M104" s="46" t="s">
        <v>303</v>
      </c>
      <c r="N104" s="46" t="s">
        <v>304</v>
      </c>
      <c r="O104" s="46" t="s">
        <v>412</v>
      </c>
      <c r="P104" s="46" t="s">
        <v>306</v>
      </c>
      <c r="Q104" s="54" t="s">
        <v>307</v>
      </c>
      <c r="R104" s="46">
        <v>235</v>
      </c>
      <c r="S104" s="46">
        <v>280</v>
      </c>
      <c r="T104" s="46">
        <v>5</v>
      </c>
      <c r="U104" s="46">
        <v>14</v>
      </c>
      <c r="V104" s="46">
        <v>46200</v>
      </c>
      <c r="W104" s="46" t="s">
        <v>267</v>
      </c>
      <c r="X104" s="46" t="s">
        <v>309</v>
      </c>
      <c r="Y104" s="46" t="s">
        <v>309</v>
      </c>
    </row>
    <row r="105" spans="1:25">
      <c r="A105" s="46">
        <v>46231</v>
      </c>
      <c r="B105" s="46">
        <v>46200</v>
      </c>
      <c r="C105" s="46" t="s">
        <v>410</v>
      </c>
      <c r="D105" s="46">
        <v>5</v>
      </c>
      <c r="E105" s="46">
        <v>0</v>
      </c>
      <c r="F105" s="46">
        <v>2200</v>
      </c>
      <c r="G105" s="46">
        <v>48</v>
      </c>
      <c r="H105" s="46">
        <v>6</v>
      </c>
      <c r="I105" s="46">
        <v>789</v>
      </c>
      <c r="J105" s="46" t="s">
        <v>427</v>
      </c>
      <c r="K105" s="46" t="s">
        <v>434</v>
      </c>
      <c r="L105" s="46" t="s">
        <v>328</v>
      </c>
      <c r="M105" s="46" t="s">
        <v>303</v>
      </c>
      <c r="N105" s="46" t="s">
        <v>304</v>
      </c>
      <c r="O105" s="46" t="s">
        <v>412</v>
      </c>
      <c r="P105" s="46" t="s">
        <v>306</v>
      </c>
      <c r="Q105" s="54" t="s">
        <v>307</v>
      </c>
      <c r="R105" s="46">
        <v>240</v>
      </c>
      <c r="S105" s="46">
        <v>320</v>
      </c>
      <c r="T105" s="46">
        <v>5.5</v>
      </c>
      <c r="U105" s="46">
        <v>14</v>
      </c>
      <c r="V105" s="46">
        <v>46200</v>
      </c>
      <c r="W105" s="46" t="s">
        <v>267</v>
      </c>
      <c r="X105" s="46" t="s">
        <v>309</v>
      </c>
      <c r="Y105" s="46" t="s">
        <v>309</v>
      </c>
    </row>
    <row r="106" spans="1:25">
      <c r="A106" s="46">
        <v>46232</v>
      </c>
      <c r="B106" s="46">
        <v>46200</v>
      </c>
      <c r="C106" s="46" t="s">
        <v>410</v>
      </c>
      <c r="D106" s="46">
        <v>5</v>
      </c>
      <c r="E106" s="46">
        <v>1</v>
      </c>
      <c r="F106" s="46">
        <v>3300</v>
      </c>
      <c r="G106" s="46">
        <v>48</v>
      </c>
      <c r="H106" s="46">
        <v>6</v>
      </c>
      <c r="I106" s="46">
        <v>846</v>
      </c>
      <c r="J106" s="46" t="s">
        <v>427</v>
      </c>
      <c r="K106" s="46" t="s">
        <v>434</v>
      </c>
      <c r="L106" s="46" t="s">
        <v>328</v>
      </c>
      <c r="M106" s="46" t="s">
        <v>303</v>
      </c>
      <c r="N106" s="46" t="s">
        <v>304</v>
      </c>
      <c r="O106" s="46" t="s">
        <v>412</v>
      </c>
      <c r="P106" s="46" t="s">
        <v>306</v>
      </c>
      <c r="Q106" s="54" t="s">
        <v>307</v>
      </c>
      <c r="R106" s="46">
        <v>245</v>
      </c>
      <c r="S106" s="46">
        <v>320</v>
      </c>
      <c r="T106" s="46">
        <v>5.5</v>
      </c>
      <c r="U106" s="46">
        <v>13</v>
      </c>
      <c r="V106" s="46">
        <v>46200</v>
      </c>
      <c r="W106" s="46" t="s">
        <v>267</v>
      </c>
      <c r="X106" s="46" t="s">
        <v>309</v>
      </c>
      <c r="Y106" s="46" t="s">
        <v>309</v>
      </c>
    </row>
    <row r="107" spans="1:25">
      <c r="A107" s="46">
        <v>46233</v>
      </c>
      <c r="B107" s="46">
        <v>46200</v>
      </c>
      <c r="C107" s="46" t="s">
        <v>410</v>
      </c>
      <c r="D107" s="46">
        <v>5</v>
      </c>
      <c r="E107" s="46">
        <v>2</v>
      </c>
      <c r="F107" s="46">
        <v>4400</v>
      </c>
      <c r="G107" s="46">
        <v>48</v>
      </c>
      <c r="H107" s="46">
        <v>6</v>
      </c>
      <c r="I107" s="46">
        <v>903</v>
      </c>
      <c r="J107" s="46" t="s">
        <v>427</v>
      </c>
      <c r="K107" s="46" t="s">
        <v>434</v>
      </c>
      <c r="L107" s="46" t="s">
        <v>328</v>
      </c>
      <c r="M107" s="46" t="s">
        <v>303</v>
      </c>
      <c r="N107" s="46" t="s">
        <v>304</v>
      </c>
      <c r="O107" s="46" t="s">
        <v>412</v>
      </c>
      <c r="P107" s="46" t="s">
        <v>306</v>
      </c>
      <c r="Q107" s="54" t="s">
        <v>307</v>
      </c>
      <c r="R107" s="46">
        <v>250</v>
      </c>
      <c r="S107" s="46">
        <v>320</v>
      </c>
      <c r="T107" s="46">
        <v>5.5</v>
      </c>
      <c r="U107" s="46">
        <v>12</v>
      </c>
      <c r="V107" s="46">
        <v>46200</v>
      </c>
      <c r="W107" s="46" t="s">
        <v>267</v>
      </c>
      <c r="X107" s="46" t="s">
        <v>309</v>
      </c>
      <c r="Y107" s="46" t="s">
        <v>309</v>
      </c>
    </row>
    <row r="108" spans="1:25">
      <c r="A108" s="46">
        <v>46234</v>
      </c>
      <c r="B108" s="46">
        <v>46200</v>
      </c>
      <c r="C108" s="46" t="s">
        <v>410</v>
      </c>
      <c r="D108" s="46">
        <v>5</v>
      </c>
      <c r="E108" s="46">
        <v>3</v>
      </c>
      <c r="F108" s="46">
        <v>5600</v>
      </c>
      <c r="G108" s="46">
        <v>48</v>
      </c>
      <c r="H108" s="46">
        <v>6</v>
      </c>
      <c r="I108" s="46">
        <v>960</v>
      </c>
      <c r="J108" s="46" t="s">
        <v>427</v>
      </c>
      <c r="K108" s="46" t="s">
        <v>434</v>
      </c>
      <c r="L108" s="46" t="s">
        <v>328</v>
      </c>
      <c r="M108" s="46" t="s">
        <v>303</v>
      </c>
      <c r="N108" s="46" t="s">
        <v>304</v>
      </c>
      <c r="O108" s="46" t="s">
        <v>412</v>
      </c>
      <c r="P108" s="46" t="s">
        <v>306</v>
      </c>
      <c r="Q108" s="54" t="s">
        <v>307</v>
      </c>
      <c r="R108" s="46">
        <v>255</v>
      </c>
      <c r="S108" s="46">
        <v>320</v>
      </c>
      <c r="T108" s="46">
        <v>5.5</v>
      </c>
      <c r="U108" s="46">
        <v>11</v>
      </c>
      <c r="V108" s="46">
        <v>46200</v>
      </c>
      <c r="W108" s="46" t="s">
        <v>267</v>
      </c>
      <c r="X108" s="46" t="s">
        <v>309</v>
      </c>
      <c r="Y108" s="46" t="s">
        <v>309</v>
      </c>
    </row>
    <row r="109" spans="1:25">
      <c r="A109" s="46">
        <v>46235</v>
      </c>
      <c r="B109" s="46">
        <v>46200</v>
      </c>
      <c r="C109" s="46" t="s">
        <v>410</v>
      </c>
      <c r="D109" s="46">
        <v>5</v>
      </c>
      <c r="E109" s="46">
        <v>4</v>
      </c>
      <c r="F109" s="46">
        <v>6700</v>
      </c>
      <c r="G109" s="46">
        <v>48</v>
      </c>
      <c r="H109" s="46">
        <v>6</v>
      </c>
      <c r="I109" s="46">
        <v>1017</v>
      </c>
      <c r="J109" s="46" t="s">
        <v>427</v>
      </c>
      <c r="K109" s="46" t="s">
        <v>434</v>
      </c>
      <c r="L109" s="46" t="s">
        <v>328</v>
      </c>
      <c r="M109" s="46" t="s">
        <v>303</v>
      </c>
      <c r="N109" s="46" t="s">
        <v>304</v>
      </c>
      <c r="O109" s="46" t="s">
        <v>412</v>
      </c>
      <c r="P109" s="46" t="s">
        <v>306</v>
      </c>
      <c r="Q109" s="54" t="s">
        <v>307</v>
      </c>
      <c r="R109" s="46">
        <v>260</v>
      </c>
      <c r="S109" s="46">
        <v>320</v>
      </c>
      <c r="T109" s="46">
        <v>5.5</v>
      </c>
      <c r="U109" s="46">
        <v>10</v>
      </c>
      <c r="V109" s="46">
        <v>46200</v>
      </c>
      <c r="W109" s="46" t="s">
        <v>267</v>
      </c>
      <c r="X109" s="46" t="s">
        <v>309</v>
      </c>
      <c r="Y109" s="46" t="s">
        <v>309</v>
      </c>
    </row>
    <row r="110" spans="1:25">
      <c r="A110" s="46">
        <v>46236</v>
      </c>
      <c r="B110" s="46">
        <v>46200</v>
      </c>
      <c r="C110" s="46" t="s">
        <v>410</v>
      </c>
      <c r="D110" s="46">
        <v>5</v>
      </c>
      <c r="E110" s="46">
        <v>5</v>
      </c>
      <c r="F110" s="46">
        <v>0</v>
      </c>
      <c r="G110" s="46">
        <v>0</v>
      </c>
      <c r="H110" s="46">
        <v>7</v>
      </c>
      <c r="I110" s="46">
        <v>1074</v>
      </c>
      <c r="J110" s="46" t="s">
        <v>427</v>
      </c>
      <c r="K110" s="46" t="s">
        <v>434</v>
      </c>
      <c r="L110" s="46" t="s">
        <v>328</v>
      </c>
      <c r="M110" s="46" t="s">
        <v>303</v>
      </c>
      <c r="N110" s="46" t="s">
        <v>304</v>
      </c>
      <c r="O110" s="46" t="s">
        <v>412</v>
      </c>
      <c r="P110" s="46" t="s">
        <v>306</v>
      </c>
      <c r="Q110" s="54" t="s">
        <v>307</v>
      </c>
      <c r="R110" s="46">
        <v>265</v>
      </c>
      <c r="S110" s="46">
        <v>320</v>
      </c>
      <c r="T110" s="46">
        <v>5.5</v>
      </c>
      <c r="U110" s="46">
        <v>9</v>
      </c>
      <c r="V110" s="46">
        <v>46200</v>
      </c>
      <c r="W110" s="46" t="s">
        <v>267</v>
      </c>
      <c r="X110" s="46" t="s">
        <v>309</v>
      </c>
      <c r="Y110" s="46" t="s">
        <v>309</v>
      </c>
    </row>
    <row r="111" spans="1:25">
      <c r="A111" s="46">
        <v>46601</v>
      </c>
      <c r="B111" s="46">
        <v>46600</v>
      </c>
      <c r="C111" s="46" t="s">
        <v>410</v>
      </c>
      <c r="D111" s="46">
        <v>0</v>
      </c>
      <c r="E111" s="46">
        <v>0</v>
      </c>
      <c r="F111" s="46">
        <v>10</v>
      </c>
      <c r="G111" s="46">
        <v>1</v>
      </c>
      <c r="H111" s="46">
        <v>1</v>
      </c>
      <c r="I111" s="46">
        <v>132</v>
      </c>
      <c r="J111" s="46" t="s">
        <v>435</v>
      </c>
      <c r="K111" s="46" t="s">
        <v>436</v>
      </c>
      <c r="L111" s="46" t="s">
        <v>338</v>
      </c>
      <c r="M111" s="46" t="s">
        <v>303</v>
      </c>
      <c r="N111" s="46" t="s">
        <v>304</v>
      </c>
      <c r="O111" s="46" t="s">
        <v>412</v>
      </c>
      <c r="P111" s="46" t="s">
        <v>306</v>
      </c>
      <c r="Q111" s="54" t="s">
        <v>307</v>
      </c>
      <c r="R111" s="46">
        <v>80</v>
      </c>
      <c r="S111" s="46">
        <v>80</v>
      </c>
      <c r="T111" s="46">
        <v>2</v>
      </c>
      <c r="U111" s="46">
        <v>20</v>
      </c>
      <c r="V111" s="46">
        <v>46600</v>
      </c>
      <c r="W111" s="46" t="s">
        <v>267</v>
      </c>
      <c r="X111" s="46" t="s">
        <v>309</v>
      </c>
      <c r="Y111" s="46" t="s">
        <v>309</v>
      </c>
    </row>
    <row r="112" spans="1:25">
      <c r="A112" s="46">
        <v>46602</v>
      </c>
      <c r="B112" s="46">
        <v>46600</v>
      </c>
      <c r="C112" s="46" t="s">
        <v>410</v>
      </c>
      <c r="D112" s="46">
        <v>0</v>
      </c>
      <c r="E112" s="46">
        <v>1</v>
      </c>
      <c r="F112" s="46">
        <v>10</v>
      </c>
      <c r="G112" s="46">
        <v>1</v>
      </c>
      <c r="H112" s="46">
        <v>1</v>
      </c>
      <c r="I112" s="46">
        <v>143</v>
      </c>
      <c r="J112" s="46" t="s">
        <v>435</v>
      </c>
      <c r="K112" s="46" t="s">
        <v>436</v>
      </c>
      <c r="L112" s="46" t="s">
        <v>338</v>
      </c>
      <c r="M112" s="46" t="s">
        <v>303</v>
      </c>
      <c r="N112" s="46" t="s">
        <v>304</v>
      </c>
      <c r="O112" s="46" t="s">
        <v>412</v>
      </c>
      <c r="P112" s="46" t="s">
        <v>306</v>
      </c>
      <c r="Q112" s="54" t="s">
        <v>307</v>
      </c>
      <c r="R112" s="46">
        <v>85</v>
      </c>
      <c r="S112" s="46">
        <v>80</v>
      </c>
      <c r="T112" s="46">
        <v>2</v>
      </c>
      <c r="U112" s="46">
        <v>20</v>
      </c>
      <c r="V112" s="46">
        <v>46600</v>
      </c>
      <c r="W112" s="46" t="s">
        <v>267</v>
      </c>
      <c r="X112" s="46" t="s">
        <v>309</v>
      </c>
      <c r="Y112" s="46" t="s">
        <v>309</v>
      </c>
    </row>
    <row r="113" spans="1:25">
      <c r="A113" s="46">
        <v>46603</v>
      </c>
      <c r="B113" s="46">
        <v>46600</v>
      </c>
      <c r="C113" s="46" t="s">
        <v>410</v>
      </c>
      <c r="D113" s="46">
        <v>0</v>
      </c>
      <c r="E113" s="46">
        <v>2</v>
      </c>
      <c r="F113" s="46">
        <v>10</v>
      </c>
      <c r="G113" s="46">
        <v>1</v>
      </c>
      <c r="H113" s="46">
        <v>1</v>
      </c>
      <c r="I113" s="46">
        <v>154</v>
      </c>
      <c r="J113" s="46" t="s">
        <v>435</v>
      </c>
      <c r="K113" s="46" t="s">
        <v>436</v>
      </c>
      <c r="L113" s="46" t="s">
        <v>338</v>
      </c>
      <c r="M113" s="46" t="s">
        <v>303</v>
      </c>
      <c r="N113" s="46" t="s">
        <v>304</v>
      </c>
      <c r="O113" s="46" t="s">
        <v>412</v>
      </c>
      <c r="P113" s="46" t="s">
        <v>306</v>
      </c>
      <c r="Q113" s="54" t="s">
        <v>307</v>
      </c>
      <c r="R113" s="46">
        <v>90</v>
      </c>
      <c r="S113" s="46">
        <v>80</v>
      </c>
      <c r="T113" s="46">
        <v>2</v>
      </c>
      <c r="U113" s="46">
        <v>20</v>
      </c>
      <c r="V113" s="46">
        <v>46600</v>
      </c>
      <c r="W113" s="46" t="s">
        <v>267</v>
      </c>
      <c r="X113" s="46" t="s">
        <v>309</v>
      </c>
      <c r="Y113" s="46" t="s">
        <v>309</v>
      </c>
    </row>
    <row r="114" spans="1:25">
      <c r="A114" s="46">
        <v>46604</v>
      </c>
      <c r="B114" s="46">
        <v>46600</v>
      </c>
      <c r="C114" s="46" t="s">
        <v>410</v>
      </c>
      <c r="D114" s="46">
        <v>0</v>
      </c>
      <c r="E114" s="46">
        <v>3</v>
      </c>
      <c r="F114" s="46">
        <v>10</v>
      </c>
      <c r="G114" s="46">
        <v>1</v>
      </c>
      <c r="H114" s="46">
        <v>1</v>
      </c>
      <c r="I114" s="46">
        <v>165</v>
      </c>
      <c r="J114" s="46" t="s">
        <v>435</v>
      </c>
      <c r="K114" s="46" t="s">
        <v>436</v>
      </c>
      <c r="L114" s="46" t="s">
        <v>338</v>
      </c>
      <c r="M114" s="46" t="s">
        <v>303</v>
      </c>
      <c r="N114" s="46" t="s">
        <v>304</v>
      </c>
      <c r="O114" s="46" t="s">
        <v>412</v>
      </c>
      <c r="P114" s="46" t="s">
        <v>306</v>
      </c>
      <c r="Q114" s="54" t="s">
        <v>307</v>
      </c>
      <c r="R114" s="46">
        <v>95</v>
      </c>
      <c r="S114" s="46">
        <v>80</v>
      </c>
      <c r="T114" s="46">
        <v>2</v>
      </c>
      <c r="U114" s="46">
        <v>20</v>
      </c>
      <c r="V114" s="46">
        <v>46600</v>
      </c>
      <c r="W114" s="46" t="s">
        <v>267</v>
      </c>
      <c r="X114" s="46" t="s">
        <v>309</v>
      </c>
      <c r="Y114" s="46" t="s">
        <v>309</v>
      </c>
    </row>
    <row r="115" spans="1:25">
      <c r="A115" s="46">
        <v>46605</v>
      </c>
      <c r="B115" s="46">
        <v>46600</v>
      </c>
      <c r="C115" s="46" t="s">
        <v>410</v>
      </c>
      <c r="D115" s="46">
        <v>0</v>
      </c>
      <c r="E115" s="46">
        <v>4</v>
      </c>
      <c r="F115" s="46">
        <v>10</v>
      </c>
      <c r="G115" s="46">
        <v>1</v>
      </c>
      <c r="H115" s="46">
        <v>1</v>
      </c>
      <c r="I115" s="46">
        <v>176</v>
      </c>
      <c r="J115" s="46" t="s">
        <v>435</v>
      </c>
      <c r="K115" s="46" t="s">
        <v>436</v>
      </c>
      <c r="L115" s="46" t="s">
        <v>338</v>
      </c>
      <c r="M115" s="46" t="s">
        <v>303</v>
      </c>
      <c r="N115" s="46" t="s">
        <v>304</v>
      </c>
      <c r="O115" s="46" t="s">
        <v>412</v>
      </c>
      <c r="P115" s="46" t="s">
        <v>306</v>
      </c>
      <c r="Q115" s="54" t="s">
        <v>307</v>
      </c>
      <c r="R115" s="46">
        <v>100</v>
      </c>
      <c r="S115" s="46">
        <v>80</v>
      </c>
      <c r="T115" s="46">
        <v>2</v>
      </c>
      <c r="U115" s="46">
        <v>19</v>
      </c>
      <c r="V115" s="46">
        <v>46600</v>
      </c>
      <c r="W115" s="46" t="s">
        <v>267</v>
      </c>
      <c r="X115" s="46" t="s">
        <v>309</v>
      </c>
      <c r="Y115" s="46" t="s">
        <v>309</v>
      </c>
    </row>
    <row r="116" spans="1:25">
      <c r="A116" s="46">
        <v>46606</v>
      </c>
      <c r="B116" s="46">
        <v>46600</v>
      </c>
      <c r="C116" s="46" t="s">
        <v>410</v>
      </c>
      <c r="D116" s="46">
        <v>0</v>
      </c>
      <c r="E116" s="46">
        <v>5</v>
      </c>
      <c r="F116" s="46">
        <v>20</v>
      </c>
      <c r="G116" s="46">
        <v>1</v>
      </c>
      <c r="H116" s="46">
        <v>2</v>
      </c>
      <c r="I116" s="46">
        <v>187.00000000000003</v>
      </c>
      <c r="J116" s="46" t="s">
        <v>435</v>
      </c>
      <c r="K116" s="46" t="s">
        <v>436</v>
      </c>
      <c r="L116" s="46" t="s">
        <v>338</v>
      </c>
      <c r="M116" s="46" t="s">
        <v>303</v>
      </c>
      <c r="N116" s="46" t="s">
        <v>304</v>
      </c>
      <c r="O116" s="46" t="s">
        <v>412</v>
      </c>
      <c r="P116" s="46" t="s">
        <v>306</v>
      </c>
      <c r="Q116" s="54" t="s">
        <v>307</v>
      </c>
      <c r="R116" s="46">
        <v>105</v>
      </c>
      <c r="S116" s="46">
        <v>80</v>
      </c>
      <c r="T116" s="46">
        <v>2</v>
      </c>
      <c r="U116" s="46">
        <v>19</v>
      </c>
      <c r="V116" s="46">
        <v>46600</v>
      </c>
      <c r="W116" s="46" t="s">
        <v>267</v>
      </c>
      <c r="X116" s="46" t="s">
        <v>309</v>
      </c>
      <c r="Y116" s="46" t="s">
        <v>309</v>
      </c>
    </row>
    <row r="117" spans="1:25">
      <c r="A117" s="46">
        <v>46607</v>
      </c>
      <c r="B117" s="46">
        <v>46600</v>
      </c>
      <c r="C117" s="46" t="s">
        <v>410</v>
      </c>
      <c r="D117" s="46">
        <v>1</v>
      </c>
      <c r="E117" s="46">
        <v>0</v>
      </c>
      <c r="F117" s="46">
        <v>20</v>
      </c>
      <c r="G117" s="46">
        <v>2</v>
      </c>
      <c r="H117" s="46">
        <v>2</v>
      </c>
      <c r="I117" s="46">
        <v>198.00000000000003</v>
      </c>
      <c r="J117" s="46" t="s">
        <v>435</v>
      </c>
      <c r="K117" s="46" t="s">
        <v>437</v>
      </c>
      <c r="L117" s="46" t="s">
        <v>338</v>
      </c>
      <c r="M117" s="46" t="s">
        <v>303</v>
      </c>
      <c r="N117" s="46" t="s">
        <v>304</v>
      </c>
      <c r="O117" s="46" t="s">
        <v>412</v>
      </c>
      <c r="P117" s="46" t="s">
        <v>306</v>
      </c>
      <c r="Q117" s="54" t="s">
        <v>307</v>
      </c>
      <c r="R117" s="46">
        <v>112</v>
      </c>
      <c r="S117" s="46">
        <v>110</v>
      </c>
      <c r="T117" s="46">
        <v>2</v>
      </c>
      <c r="U117" s="46">
        <v>19</v>
      </c>
      <c r="V117" s="46">
        <v>46600</v>
      </c>
      <c r="W117" s="46" t="s">
        <v>267</v>
      </c>
      <c r="X117" s="46" t="s">
        <v>309</v>
      </c>
      <c r="Y117" s="46" t="s">
        <v>309</v>
      </c>
    </row>
    <row r="118" spans="1:25">
      <c r="A118" s="46">
        <v>46608</v>
      </c>
      <c r="B118" s="46">
        <v>46600</v>
      </c>
      <c r="C118" s="46" t="s">
        <v>410</v>
      </c>
      <c r="D118" s="46">
        <v>1</v>
      </c>
      <c r="E118" s="46">
        <v>1</v>
      </c>
      <c r="F118" s="46">
        <v>20</v>
      </c>
      <c r="G118" s="46">
        <v>2</v>
      </c>
      <c r="H118" s="46">
        <v>2</v>
      </c>
      <c r="I118" s="46">
        <v>209.00000000000003</v>
      </c>
      <c r="J118" s="46" t="s">
        <v>435</v>
      </c>
      <c r="K118" s="46" t="s">
        <v>437</v>
      </c>
      <c r="L118" s="46" t="s">
        <v>338</v>
      </c>
      <c r="M118" s="46" t="s">
        <v>303</v>
      </c>
      <c r="N118" s="46" t="s">
        <v>304</v>
      </c>
      <c r="O118" s="46" t="s">
        <v>412</v>
      </c>
      <c r="P118" s="46" t="s">
        <v>306</v>
      </c>
      <c r="Q118" s="54" t="s">
        <v>307</v>
      </c>
      <c r="R118" s="46">
        <v>119</v>
      </c>
      <c r="S118" s="46">
        <v>110</v>
      </c>
      <c r="T118" s="46">
        <v>2</v>
      </c>
      <c r="U118" s="46">
        <v>19</v>
      </c>
      <c r="V118" s="46">
        <v>46600</v>
      </c>
      <c r="W118" s="46" t="s">
        <v>267</v>
      </c>
      <c r="X118" s="46" t="s">
        <v>309</v>
      </c>
      <c r="Y118" s="46" t="s">
        <v>309</v>
      </c>
    </row>
    <row r="119" spans="1:25">
      <c r="A119" s="46">
        <v>46609</v>
      </c>
      <c r="B119" s="46">
        <v>46600</v>
      </c>
      <c r="C119" s="46" t="s">
        <v>410</v>
      </c>
      <c r="D119" s="46">
        <v>1</v>
      </c>
      <c r="E119" s="46">
        <v>2</v>
      </c>
      <c r="F119" s="46">
        <v>20</v>
      </c>
      <c r="G119" s="46">
        <v>2</v>
      </c>
      <c r="H119" s="46">
        <v>2</v>
      </c>
      <c r="I119" s="46">
        <v>220.00000000000003</v>
      </c>
      <c r="J119" s="46" t="s">
        <v>435</v>
      </c>
      <c r="K119" s="46" t="s">
        <v>437</v>
      </c>
      <c r="L119" s="46" t="s">
        <v>338</v>
      </c>
      <c r="M119" s="46" t="s">
        <v>303</v>
      </c>
      <c r="N119" s="46" t="s">
        <v>304</v>
      </c>
      <c r="O119" s="46" t="s">
        <v>412</v>
      </c>
      <c r="P119" s="46" t="s">
        <v>306</v>
      </c>
      <c r="Q119" s="54" t="s">
        <v>307</v>
      </c>
      <c r="R119" s="46">
        <v>126</v>
      </c>
      <c r="S119" s="46">
        <v>110</v>
      </c>
      <c r="T119" s="46">
        <v>2</v>
      </c>
      <c r="U119" s="46">
        <v>19</v>
      </c>
      <c r="V119" s="46">
        <v>46600</v>
      </c>
      <c r="W119" s="46" t="s">
        <v>267</v>
      </c>
      <c r="X119" s="46" t="s">
        <v>309</v>
      </c>
      <c r="Y119" s="46" t="s">
        <v>309</v>
      </c>
    </row>
    <row r="120" spans="1:25">
      <c r="A120" s="46">
        <v>46610</v>
      </c>
      <c r="B120" s="46">
        <v>46600</v>
      </c>
      <c r="C120" s="46" t="s">
        <v>410</v>
      </c>
      <c r="D120" s="46">
        <v>1</v>
      </c>
      <c r="E120" s="46">
        <v>3</v>
      </c>
      <c r="F120" s="46">
        <v>20</v>
      </c>
      <c r="G120" s="46">
        <v>2</v>
      </c>
      <c r="H120" s="46">
        <v>2</v>
      </c>
      <c r="I120" s="46">
        <v>231.00000000000003</v>
      </c>
      <c r="J120" s="46" t="s">
        <v>435</v>
      </c>
      <c r="K120" s="46" t="s">
        <v>437</v>
      </c>
      <c r="L120" s="46" t="s">
        <v>338</v>
      </c>
      <c r="M120" s="46" t="s">
        <v>303</v>
      </c>
      <c r="N120" s="46" t="s">
        <v>304</v>
      </c>
      <c r="O120" s="46" t="s">
        <v>412</v>
      </c>
      <c r="P120" s="46" t="s">
        <v>306</v>
      </c>
      <c r="Q120" s="54" t="s">
        <v>307</v>
      </c>
      <c r="R120" s="46">
        <v>133</v>
      </c>
      <c r="S120" s="46">
        <v>110</v>
      </c>
      <c r="T120" s="46">
        <v>2</v>
      </c>
      <c r="U120" s="46">
        <v>18</v>
      </c>
      <c r="V120" s="46">
        <v>46600</v>
      </c>
      <c r="W120" s="46" t="s">
        <v>267</v>
      </c>
      <c r="X120" s="46" t="s">
        <v>309</v>
      </c>
      <c r="Y120" s="46" t="s">
        <v>309</v>
      </c>
    </row>
    <row r="121" spans="1:25">
      <c r="A121" s="46">
        <v>46611</v>
      </c>
      <c r="B121" s="46">
        <v>46600</v>
      </c>
      <c r="C121" s="46" t="s">
        <v>410</v>
      </c>
      <c r="D121" s="46">
        <v>1</v>
      </c>
      <c r="E121" s="46">
        <v>4</v>
      </c>
      <c r="F121" s="46">
        <v>20</v>
      </c>
      <c r="G121" s="46">
        <v>2</v>
      </c>
      <c r="H121" s="46">
        <v>2</v>
      </c>
      <c r="I121" s="46">
        <v>242.00000000000003</v>
      </c>
      <c r="J121" s="46" t="s">
        <v>435</v>
      </c>
      <c r="K121" s="46" t="s">
        <v>437</v>
      </c>
      <c r="L121" s="46" t="s">
        <v>338</v>
      </c>
      <c r="M121" s="46" t="s">
        <v>303</v>
      </c>
      <c r="N121" s="46" t="s">
        <v>304</v>
      </c>
      <c r="O121" s="46" t="s">
        <v>412</v>
      </c>
      <c r="P121" s="46" t="s">
        <v>306</v>
      </c>
      <c r="Q121" s="54" t="s">
        <v>307</v>
      </c>
      <c r="R121" s="46">
        <v>140</v>
      </c>
      <c r="S121" s="46">
        <v>110</v>
      </c>
      <c r="T121" s="46">
        <v>2</v>
      </c>
      <c r="U121" s="46">
        <v>18</v>
      </c>
      <c r="V121" s="46">
        <v>46600</v>
      </c>
      <c r="W121" s="46" t="s">
        <v>267</v>
      </c>
      <c r="X121" s="46" t="s">
        <v>309</v>
      </c>
      <c r="Y121" s="46" t="s">
        <v>309</v>
      </c>
    </row>
    <row r="122" spans="1:25">
      <c r="A122" s="46">
        <v>46612</v>
      </c>
      <c r="B122" s="46">
        <v>46600</v>
      </c>
      <c r="C122" s="46" t="s">
        <v>410</v>
      </c>
      <c r="D122" s="46">
        <v>1</v>
      </c>
      <c r="E122" s="46">
        <v>5</v>
      </c>
      <c r="F122" s="46">
        <v>30</v>
      </c>
      <c r="G122" s="46">
        <v>2</v>
      </c>
      <c r="H122" s="46">
        <v>3</v>
      </c>
      <c r="I122" s="46">
        <v>253.00000000000003</v>
      </c>
      <c r="J122" s="46" t="s">
        <v>435</v>
      </c>
      <c r="K122" s="46" t="s">
        <v>437</v>
      </c>
      <c r="L122" s="46" t="s">
        <v>338</v>
      </c>
      <c r="M122" s="46" t="s">
        <v>303</v>
      </c>
      <c r="N122" s="46" t="s">
        <v>304</v>
      </c>
      <c r="O122" s="46" t="s">
        <v>412</v>
      </c>
      <c r="P122" s="46" t="s">
        <v>306</v>
      </c>
      <c r="Q122" s="54" t="s">
        <v>307</v>
      </c>
      <c r="R122" s="46">
        <v>147</v>
      </c>
      <c r="S122" s="46">
        <v>110</v>
      </c>
      <c r="T122" s="46">
        <v>2</v>
      </c>
      <c r="U122" s="46">
        <v>18</v>
      </c>
      <c r="V122" s="46">
        <v>46600</v>
      </c>
      <c r="W122" s="46" t="s">
        <v>267</v>
      </c>
      <c r="X122" s="46" t="s">
        <v>309</v>
      </c>
      <c r="Y122" s="46" t="s">
        <v>309</v>
      </c>
    </row>
    <row r="123" spans="1:25">
      <c r="A123" s="46">
        <v>46613</v>
      </c>
      <c r="B123" s="46">
        <v>46600</v>
      </c>
      <c r="C123" s="46" t="s">
        <v>410</v>
      </c>
      <c r="D123" s="46">
        <v>2</v>
      </c>
      <c r="E123" s="46">
        <v>0</v>
      </c>
      <c r="F123" s="46">
        <v>30</v>
      </c>
      <c r="G123" s="46">
        <v>4</v>
      </c>
      <c r="H123" s="46">
        <v>3</v>
      </c>
      <c r="I123" s="46">
        <v>275</v>
      </c>
      <c r="J123" s="46" t="s">
        <v>435</v>
      </c>
      <c r="K123" s="46" t="s">
        <v>438</v>
      </c>
      <c r="L123" s="46" t="s">
        <v>338</v>
      </c>
      <c r="M123" s="46" t="s">
        <v>303</v>
      </c>
      <c r="N123" s="46" t="s">
        <v>304</v>
      </c>
      <c r="O123" s="46" t="s">
        <v>412</v>
      </c>
      <c r="P123" s="46" t="s">
        <v>306</v>
      </c>
      <c r="Q123" s="54" t="s">
        <v>307</v>
      </c>
      <c r="R123" s="46">
        <v>156</v>
      </c>
      <c r="S123" s="46">
        <v>140</v>
      </c>
      <c r="T123" s="46">
        <v>2</v>
      </c>
      <c r="U123" s="46">
        <v>18</v>
      </c>
      <c r="V123" s="46">
        <v>46600</v>
      </c>
      <c r="W123" s="46" t="s">
        <v>267</v>
      </c>
      <c r="X123" s="46" t="s">
        <v>309</v>
      </c>
      <c r="Y123" s="46" t="s">
        <v>309</v>
      </c>
    </row>
    <row r="124" spans="1:25">
      <c r="A124" s="46">
        <v>46614</v>
      </c>
      <c r="B124" s="46">
        <v>46600</v>
      </c>
      <c r="C124" s="46" t="s">
        <v>410</v>
      </c>
      <c r="D124" s="46">
        <v>2</v>
      </c>
      <c r="E124" s="46">
        <v>1</v>
      </c>
      <c r="F124" s="46">
        <v>30</v>
      </c>
      <c r="G124" s="46">
        <v>4</v>
      </c>
      <c r="H124" s="46">
        <v>3</v>
      </c>
      <c r="I124" s="46">
        <v>297</v>
      </c>
      <c r="J124" s="46" t="s">
        <v>435</v>
      </c>
      <c r="K124" s="46" t="s">
        <v>438</v>
      </c>
      <c r="L124" s="46" t="s">
        <v>338</v>
      </c>
      <c r="M124" s="46" t="s">
        <v>303</v>
      </c>
      <c r="N124" s="46" t="s">
        <v>304</v>
      </c>
      <c r="O124" s="46" t="s">
        <v>412</v>
      </c>
      <c r="P124" s="46" t="s">
        <v>306</v>
      </c>
      <c r="Q124" s="54" t="s">
        <v>307</v>
      </c>
      <c r="R124" s="46">
        <v>165</v>
      </c>
      <c r="S124" s="46">
        <v>140</v>
      </c>
      <c r="T124" s="46">
        <v>2</v>
      </c>
      <c r="U124" s="46">
        <v>18</v>
      </c>
      <c r="V124" s="46">
        <v>46600</v>
      </c>
      <c r="W124" s="46" t="s">
        <v>267</v>
      </c>
      <c r="X124" s="46" t="s">
        <v>309</v>
      </c>
      <c r="Y124" s="46" t="s">
        <v>309</v>
      </c>
    </row>
    <row r="125" spans="1:25">
      <c r="A125" s="46">
        <v>46615</v>
      </c>
      <c r="B125" s="46">
        <v>46600</v>
      </c>
      <c r="C125" s="46" t="s">
        <v>410</v>
      </c>
      <c r="D125" s="46">
        <v>2</v>
      </c>
      <c r="E125" s="46">
        <v>2</v>
      </c>
      <c r="F125" s="46">
        <v>30</v>
      </c>
      <c r="G125" s="46">
        <v>4</v>
      </c>
      <c r="H125" s="46">
        <v>3</v>
      </c>
      <c r="I125" s="46">
        <v>319</v>
      </c>
      <c r="J125" s="46" t="s">
        <v>435</v>
      </c>
      <c r="K125" s="46" t="s">
        <v>438</v>
      </c>
      <c r="L125" s="46" t="s">
        <v>338</v>
      </c>
      <c r="M125" s="46" t="s">
        <v>303</v>
      </c>
      <c r="N125" s="46" t="s">
        <v>304</v>
      </c>
      <c r="O125" s="46" t="s">
        <v>412</v>
      </c>
      <c r="P125" s="46" t="s">
        <v>306</v>
      </c>
      <c r="Q125" s="54" t="s">
        <v>307</v>
      </c>
      <c r="R125" s="46">
        <v>174</v>
      </c>
      <c r="S125" s="46">
        <v>140</v>
      </c>
      <c r="T125" s="46">
        <v>2</v>
      </c>
      <c r="U125" s="46">
        <v>18</v>
      </c>
      <c r="V125" s="46">
        <v>46600</v>
      </c>
      <c r="W125" s="46" t="s">
        <v>267</v>
      </c>
      <c r="X125" s="46" t="s">
        <v>309</v>
      </c>
      <c r="Y125" s="46" t="s">
        <v>309</v>
      </c>
    </row>
    <row r="126" spans="1:25">
      <c r="A126" s="46">
        <v>46616</v>
      </c>
      <c r="B126" s="46">
        <v>46600</v>
      </c>
      <c r="C126" s="46" t="s">
        <v>410</v>
      </c>
      <c r="D126" s="46">
        <v>2</v>
      </c>
      <c r="E126" s="46">
        <v>3</v>
      </c>
      <c r="F126" s="46">
        <v>30</v>
      </c>
      <c r="G126" s="46">
        <v>4</v>
      </c>
      <c r="H126" s="46">
        <v>3</v>
      </c>
      <c r="I126" s="46">
        <v>341</v>
      </c>
      <c r="J126" s="46" t="s">
        <v>435</v>
      </c>
      <c r="K126" s="46" t="s">
        <v>438</v>
      </c>
      <c r="L126" s="46" t="s">
        <v>338</v>
      </c>
      <c r="M126" s="46" t="s">
        <v>303</v>
      </c>
      <c r="N126" s="46" t="s">
        <v>304</v>
      </c>
      <c r="O126" s="46" t="s">
        <v>412</v>
      </c>
      <c r="P126" s="46" t="s">
        <v>306</v>
      </c>
      <c r="Q126" s="54" t="s">
        <v>307</v>
      </c>
      <c r="R126" s="46">
        <v>183</v>
      </c>
      <c r="S126" s="46">
        <v>140</v>
      </c>
      <c r="T126" s="46">
        <v>2</v>
      </c>
      <c r="U126" s="46">
        <v>17</v>
      </c>
      <c r="V126" s="46">
        <v>46600</v>
      </c>
      <c r="W126" s="46" t="s">
        <v>267</v>
      </c>
      <c r="X126" s="46" t="s">
        <v>309</v>
      </c>
      <c r="Y126" s="46" t="s">
        <v>309</v>
      </c>
    </row>
    <row r="127" spans="1:25">
      <c r="A127" s="46">
        <v>46617</v>
      </c>
      <c r="B127" s="46">
        <v>46600</v>
      </c>
      <c r="C127" s="46" t="s">
        <v>410</v>
      </c>
      <c r="D127" s="46">
        <v>2</v>
      </c>
      <c r="E127" s="46">
        <v>4</v>
      </c>
      <c r="F127" s="46">
        <v>30</v>
      </c>
      <c r="G127" s="46">
        <v>4</v>
      </c>
      <c r="H127" s="46">
        <v>3</v>
      </c>
      <c r="I127" s="46">
        <v>363.00000000000006</v>
      </c>
      <c r="J127" s="46" t="s">
        <v>435</v>
      </c>
      <c r="K127" s="46" t="s">
        <v>438</v>
      </c>
      <c r="L127" s="46" t="s">
        <v>338</v>
      </c>
      <c r="M127" s="46" t="s">
        <v>303</v>
      </c>
      <c r="N127" s="46" t="s">
        <v>304</v>
      </c>
      <c r="O127" s="46" t="s">
        <v>412</v>
      </c>
      <c r="P127" s="46" t="s">
        <v>306</v>
      </c>
      <c r="Q127" s="54" t="s">
        <v>307</v>
      </c>
      <c r="R127" s="46">
        <v>192</v>
      </c>
      <c r="S127" s="46">
        <v>140</v>
      </c>
      <c r="T127" s="46">
        <v>2</v>
      </c>
      <c r="U127" s="46">
        <v>17</v>
      </c>
      <c r="V127" s="46">
        <v>46600</v>
      </c>
      <c r="W127" s="46" t="s">
        <v>267</v>
      </c>
      <c r="X127" s="46" t="s">
        <v>309</v>
      </c>
      <c r="Y127" s="46" t="s">
        <v>309</v>
      </c>
    </row>
    <row r="128" spans="1:25">
      <c r="A128" s="46">
        <v>46618</v>
      </c>
      <c r="B128" s="46">
        <v>46600</v>
      </c>
      <c r="C128" s="46" t="s">
        <v>410</v>
      </c>
      <c r="D128" s="46">
        <v>2</v>
      </c>
      <c r="E128" s="46">
        <v>5</v>
      </c>
      <c r="F128" s="46">
        <v>50</v>
      </c>
      <c r="G128" s="46">
        <v>4</v>
      </c>
      <c r="H128" s="46">
        <v>4</v>
      </c>
      <c r="I128" s="46">
        <v>385.00000000000006</v>
      </c>
      <c r="J128" s="46" t="s">
        <v>435</v>
      </c>
      <c r="K128" s="46" t="s">
        <v>438</v>
      </c>
      <c r="L128" s="46" t="s">
        <v>338</v>
      </c>
      <c r="M128" s="46" t="s">
        <v>303</v>
      </c>
      <c r="N128" s="46" t="s">
        <v>304</v>
      </c>
      <c r="O128" s="46" t="s">
        <v>412</v>
      </c>
      <c r="P128" s="46" t="s">
        <v>306</v>
      </c>
      <c r="Q128" s="54" t="s">
        <v>307</v>
      </c>
      <c r="R128" s="46">
        <v>201</v>
      </c>
      <c r="S128" s="46">
        <v>140</v>
      </c>
      <c r="T128" s="46">
        <v>2</v>
      </c>
      <c r="U128" s="46">
        <v>17</v>
      </c>
      <c r="V128" s="46">
        <v>46600</v>
      </c>
      <c r="W128" s="46" t="s">
        <v>267</v>
      </c>
      <c r="X128" s="46" t="s">
        <v>309</v>
      </c>
      <c r="Y128" s="46" t="s">
        <v>309</v>
      </c>
    </row>
    <row r="129" spans="1:25">
      <c r="A129" s="46">
        <v>46619</v>
      </c>
      <c r="B129" s="46">
        <v>46600</v>
      </c>
      <c r="C129" s="46" t="s">
        <v>410</v>
      </c>
      <c r="D129" s="46">
        <v>3</v>
      </c>
      <c r="E129" s="46">
        <v>0</v>
      </c>
      <c r="F129" s="46">
        <v>50</v>
      </c>
      <c r="G129" s="46">
        <v>8</v>
      </c>
      <c r="H129" s="46">
        <v>4</v>
      </c>
      <c r="I129" s="46">
        <v>418.00000000000006</v>
      </c>
      <c r="J129" s="46" t="s">
        <v>435</v>
      </c>
      <c r="K129" s="46" t="s">
        <v>439</v>
      </c>
      <c r="L129" s="46" t="s">
        <v>338</v>
      </c>
      <c r="M129" s="46" t="s">
        <v>303</v>
      </c>
      <c r="N129" s="46" t="s">
        <v>304</v>
      </c>
      <c r="O129" s="46" t="s">
        <v>412</v>
      </c>
      <c r="P129" s="46" t="s">
        <v>306</v>
      </c>
      <c r="Q129" s="54" t="s">
        <v>307</v>
      </c>
      <c r="R129" s="46">
        <v>212</v>
      </c>
      <c r="S129" s="46">
        <v>180</v>
      </c>
      <c r="T129" s="46">
        <v>2.5</v>
      </c>
      <c r="U129" s="46">
        <v>17</v>
      </c>
      <c r="V129" s="46">
        <v>46600</v>
      </c>
      <c r="W129" s="46" t="s">
        <v>267</v>
      </c>
      <c r="X129" s="46" t="s">
        <v>309</v>
      </c>
      <c r="Y129" s="46" t="s">
        <v>309</v>
      </c>
    </row>
    <row r="130" spans="1:25">
      <c r="A130" s="46">
        <v>46620</v>
      </c>
      <c r="B130" s="46">
        <v>46600</v>
      </c>
      <c r="C130" s="46" t="s">
        <v>410</v>
      </c>
      <c r="D130" s="46">
        <v>3</v>
      </c>
      <c r="E130" s="46">
        <v>1</v>
      </c>
      <c r="F130" s="46">
        <v>50</v>
      </c>
      <c r="G130" s="46">
        <v>8</v>
      </c>
      <c r="H130" s="46">
        <v>4</v>
      </c>
      <c r="I130" s="46">
        <v>451.00000000000006</v>
      </c>
      <c r="J130" s="46" t="s">
        <v>435</v>
      </c>
      <c r="K130" s="46" t="s">
        <v>439</v>
      </c>
      <c r="L130" s="46" t="s">
        <v>338</v>
      </c>
      <c r="M130" s="46" t="s">
        <v>303</v>
      </c>
      <c r="N130" s="46" t="s">
        <v>304</v>
      </c>
      <c r="O130" s="46" t="s">
        <v>412</v>
      </c>
      <c r="P130" s="46" t="s">
        <v>306</v>
      </c>
      <c r="Q130" s="54" t="s">
        <v>307</v>
      </c>
      <c r="R130" s="46">
        <v>223</v>
      </c>
      <c r="S130" s="46">
        <v>180</v>
      </c>
      <c r="T130" s="46">
        <v>2.5</v>
      </c>
      <c r="U130" s="46">
        <v>17</v>
      </c>
      <c r="V130" s="46">
        <v>46600</v>
      </c>
      <c r="W130" s="46" t="s">
        <v>267</v>
      </c>
      <c r="X130" s="46" t="s">
        <v>309</v>
      </c>
      <c r="Y130" s="46" t="s">
        <v>309</v>
      </c>
    </row>
    <row r="131" spans="1:25">
      <c r="A131" s="46">
        <v>46621</v>
      </c>
      <c r="B131" s="46">
        <v>46600</v>
      </c>
      <c r="C131" s="46" t="s">
        <v>410</v>
      </c>
      <c r="D131" s="46">
        <v>3</v>
      </c>
      <c r="E131" s="46">
        <v>2</v>
      </c>
      <c r="F131" s="46">
        <v>50</v>
      </c>
      <c r="G131" s="46">
        <v>8</v>
      </c>
      <c r="H131" s="46">
        <v>4</v>
      </c>
      <c r="I131" s="46">
        <v>484.00000000000006</v>
      </c>
      <c r="J131" s="46" t="s">
        <v>435</v>
      </c>
      <c r="K131" s="46" t="s">
        <v>439</v>
      </c>
      <c r="L131" s="46" t="s">
        <v>338</v>
      </c>
      <c r="M131" s="46" t="s">
        <v>303</v>
      </c>
      <c r="N131" s="46" t="s">
        <v>304</v>
      </c>
      <c r="O131" s="46" t="s">
        <v>412</v>
      </c>
      <c r="P131" s="46" t="s">
        <v>306</v>
      </c>
      <c r="Q131" s="54" t="s">
        <v>307</v>
      </c>
      <c r="R131" s="46">
        <v>234</v>
      </c>
      <c r="S131" s="46">
        <v>180</v>
      </c>
      <c r="T131" s="46">
        <v>2.5</v>
      </c>
      <c r="U131" s="46">
        <v>16</v>
      </c>
      <c r="V131" s="46">
        <v>46600</v>
      </c>
      <c r="W131" s="46" t="s">
        <v>267</v>
      </c>
      <c r="X131" s="46" t="s">
        <v>309</v>
      </c>
      <c r="Y131" s="46" t="s">
        <v>309</v>
      </c>
    </row>
    <row r="132" spans="1:25">
      <c r="A132" s="46">
        <v>46622</v>
      </c>
      <c r="B132" s="46">
        <v>46600</v>
      </c>
      <c r="C132" s="46" t="s">
        <v>410</v>
      </c>
      <c r="D132" s="46">
        <v>3</v>
      </c>
      <c r="E132" s="46">
        <v>3</v>
      </c>
      <c r="F132" s="46">
        <v>50</v>
      </c>
      <c r="G132" s="46">
        <v>8</v>
      </c>
      <c r="H132" s="46">
        <v>4</v>
      </c>
      <c r="I132" s="46">
        <v>517</v>
      </c>
      <c r="J132" s="46" t="s">
        <v>435</v>
      </c>
      <c r="K132" s="46" t="s">
        <v>439</v>
      </c>
      <c r="L132" s="46" t="s">
        <v>338</v>
      </c>
      <c r="M132" s="46" t="s">
        <v>303</v>
      </c>
      <c r="N132" s="46" t="s">
        <v>304</v>
      </c>
      <c r="O132" s="46" t="s">
        <v>412</v>
      </c>
      <c r="P132" s="46" t="s">
        <v>306</v>
      </c>
      <c r="Q132" s="54" t="s">
        <v>307</v>
      </c>
      <c r="R132" s="46">
        <v>245</v>
      </c>
      <c r="S132" s="46">
        <v>180</v>
      </c>
      <c r="T132" s="46">
        <v>2.5</v>
      </c>
      <c r="U132" s="46">
        <v>16</v>
      </c>
      <c r="V132" s="46">
        <v>46600</v>
      </c>
      <c r="W132" s="46" t="s">
        <v>267</v>
      </c>
      <c r="X132" s="46" t="s">
        <v>309</v>
      </c>
      <c r="Y132" s="46" t="s">
        <v>309</v>
      </c>
    </row>
    <row r="133" spans="1:25">
      <c r="A133" s="46">
        <v>46623</v>
      </c>
      <c r="B133" s="46">
        <v>46600</v>
      </c>
      <c r="C133" s="46" t="s">
        <v>410</v>
      </c>
      <c r="D133" s="46">
        <v>3</v>
      </c>
      <c r="E133" s="46">
        <v>4</v>
      </c>
      <c r="F133" s="46">
        <v>50</v>
      </c>
      <c r="G133" s="46">
        <v>8</v>
      </c>
      <c r="H133" s="46">
        <v>4</v>
      </c>
      <c r="I133" s="46">
        <v>550</v>
      </c>
      <c r="J133" s="46" t="s">
        <v>435</v>
      </c>
      <c r="K133" s="46" t="s">
        <v>439</v>
      </c>
      <c r="L133" s="46" t="s">
        <v>338</v>
      </c>
      <c r="M133" s="46" t="s">
        <v>303</v>
      </c>
      <c r="N133" s="46" t="s">
        <v>304</v>
      </c>
      <c r="O133" s="46" t="s">
        <v>412</v>
      </c>
      <c r="P133" s="46" t="s">
        <v>306</v>
      </c>
      <c r="Q133" s="54" t="s">
        <v>307</v>
      </c>
      <c r="R133" s="46">
        <v>256</v>
      </c>
      <c r="S133" s="46">
        <v>180</v>
      </c>
      <c r="T133" s="46">
        <v>2.5</v>
      </c>
      <c r="U133" s="46">
        <v>16</v>
      </c>
      <c r="V133" s="46">
        <v>46600</v>
      </c>
      <c r="W133" s="46" t="s">
        <v>267</v>
      </c>
      <c r="X133" s="46" t="s">
        <v>309</v>
      </c>
      <c r="Y133" s="46" t="s">
        <v>309</v>
      </c>
    </row>
    <row r="134" spans="1:25">
      <c r="A134" s="46">
        <v>46624</v>
      </c>
      <c r="B134" s="46">
        <v>46600</v>
      </c>
      <c r="C134" s="46" t="s">
        <v>410</v>
      </c>
      <c r="D134" s="46">
        <v>3</v>
      </c>
      <c r="E134" s="46">
        <v>5</v>
      </c>
      <c r="F134" s="46">
        <v>120</v>
      </c>
      <c r="G134" s="46">
        <v>8</v>
      </c>
      <c r="H134" s="46">
        <v>5</v>
      </c>
      <c r="I134" s="46">
        <v>583</v>
      </c>
      <c r="J134" s="46" t="s">
        <v>435</v>
      </c>
      <c r="K134" s="46" t="s">
        <v>439</v>
      </c>
      <c r="L134" s="46" t="s">
        <v>338</v>
      </c>
      <c r="M134" s="46" t="s">
        <v>303</v>
      </c>
      <c r="N134" s="46" t="s">
        <v>304</v>
      </c>
      <c r="O134" s="46" t="s">
        <v>412</v>
      </c>
      <c r="P134" s="46" t="s">
        <v>306</v>
      </c>
      <c r="Q134" s="54" t="s">
        <v>307</v>
      </c>
      <c r="R134" s="46">
        <v>267</v>
      </c>
      <c r="S134" s="46">
        <v>180</v>
      </c>
      <c r="T134" s="46">
        <v>3</v>
      </c>
      <c r="U134" s="46">
        <v>16</v>
      </c>
      <c r="V134" s="46">
        <v>46600</v>
      </c>
      <c r="W134" s="46" t="s">
        <v>267</v>
      </c>
      <c r="X134" s="46" t="s">
        <v>309</v>
      </c>
      <c r="Y134" s="46" t="s">
        <v>309</v>
      </c>
    </row>
    <row r="135" spans="1:25">
      <c r="A135" s="46">
        <v>46625</v>
      </c>
      <c r="B135" s="46">
        <v>46600</v>
      </c>
      <c r="C135" s="46" t="s">
        <v>410</v>
      </c>
      <c r="D135" s="46">
        <v>4</v>
      </c>
      <c r="E135" s="46">
        <v>0</v>
      </c>
      <c r="F135" s="46">
        <v>200</v>
      </c>
      <c r="G135" s="46">
        <v>24</v>
      </c>
      <c r="H135" s="46">
        <v>5</v>
      </c>
      <c r="I135" s="46">
        <v>627</v>
      </c>
      <c r="J135" s="46" t="s">
        <v>435</v>
      </c>
      <c r="K135" s="46" t="s">
        <v>440</v>
      </c>
      <c r="L135" s="46" t="s">
        <v>338</v>
      </c>
      <c r="M135" s="46" t="s">
        <v>303</v>
      </c>
      <c r="N135" s="46" t="s">
        <v>304</v>
      </c>
      <c r="O135" s="46" t="s">
        <v>412</v>
      </c>
      <c r="P135" s="46" t="s">
        <v>306</v>
      </c>
      <c r="Q135" s="54" t="s">
        <v>307</v>
      </c>
      <c r="R135" s="46">
        <v>280</v>
      </c>
      <c r="S135" s="46">
        <v>220</v>
      </c>
      <c r="T135" s="46">
        <v>3</v>
      </c>
      <c r="U135" s="46">
        <v>16</v>
      </c>
      <c r="V135" s="46">
        <v>46600</v>
      </c>
      <c r="W135" s="46" t="s">
        <v>267</v>
      </c>
      <c r="X135" s="46" t="s">
        <v>309</v>
      </c>
      <c r="Y135" s="46" t="s">
        <v>309</v>
      </c>
    </row>
    <row r="136" spans="1:25">
      <c r="A136" s="46">
        <v>46626</v>
      </c>
      <c r="B136" s="46">
        <v>46600</v>
      </c>
      <c r="C136" s="46" t="s">
        <v>410</v>
      </c>
      <c r="D136" s="46">
        <v>4</v>
      </c>
      <c r="E136" s="46">
        <v>1</v>
      </c>
      <c r="F136" s="46">
        <v>280</v>
      </c>
      <c r="G136" s="46">
        <v>24</v>
      </c>
      <c r="H136" s="46">
        <v>5</v>
      </c>
      <c r="I136" s="46">
        <v>671</v>
      </c>
      <c r="J136" s="46" t="s">
        <v>435</v>
      </c>
      <c r="K136" s="46" t="s">
        <v>440</v>
      </c>
      <c r="L136" s="46" t="s">
        <v>338</v>
      </c>
      <c r="M136" s="46" t="s">
        <v>303</v>
      </c>
      <c r="N136" s="46" t="s">
        <v>304</v>
      </c>
      <c r="O136" s="46" t="s">
        <v>412</v>
      </c>
      <c r="P136" s="46" t="s">
        <v>306</v>
      </c>
      <c r="Q136" s="54" t="s">
        <v>307</v>
      </c>
      <c r="R136" s="46">
        <v>293</v>
      </c>
      <c r="S136" s="46">
        <v>220</v>
      </c>
      <c r="T136" s="46">
        <v>3</v>
      </c>
      <c r="U136" s="46">
        <v>15</v>
      </c>
      <c r="V136" s="46">
        <v>46600</v>
      </c>
      <c r="W136" s="46" t="s">
        <v>267</v>
      </c>
      <c r="X136" s="46" t="s">
        <v>309</v>
      </c>
      <c r="Y136" s="46" t="s">
        <v>309</v>
      </c>
    </row>
    <row r="137" spans="1:25">
      <c r="A137" s="46">
        <v>46627</v>
      </c>
      <c r="B137" s="46">
        <v>46600</v>
      </c>
      <c r="C137" s="46" t="s">
        <v>410</v>
      </c>
      <c r="D137" s="46">
        <v>4</v>
      </c>
      <c r="E137" s="46">
        <v>2</v>
      </c>
      <c r="F137" s="46">
        <v>400</v>
      </c>
      <c r="G137" s="46">
        <v>24</v>
      </c>
      <c r="H137" s="46">
        <v>5</v>
      </c>
      <c r="I137" s="46">
        <v>715.00000000000011</v>
      </c>
      <c r="J137" s="46" t="s">
        <v>435</v>
      </c>
      <c r="K137" s="46" t="s">
        <v>440</v>
      </c>
      <c r="L137" s="46" t="s">
        <v>338</v>
      </c>
      <c r="M137" s="46" t="s">
        <v>303</v>
      </c>
      <c r="N137" s="46" t="s">
        <v>304</v>
      </c>
      <c r="O137" s="46" t="s">
        <v>412</v>
      </c>
      <c r="P137" s="46" t="s">
        <v>306</v>
      </c>
      <c r="Q137" s="54" t="s">
        <v>307</v>
      </c>
      <c r="R137" s="46">
        <v>306</v>
      </c>
      <c r="S137" s="46">
        <v>220</v>
      </c>
      <c r="T137" s="46">
        <v>3</v>
      </c>
      <c r="U137" s="46">
        <v>15</v>
      </c>
      <c r="V137" s="46">
        <v>46600</v>
      </c>
      <c r="W137" s="46" t="s">
        <v>267</v>
      </c>
      <c r="X137" s="46" t="s">
        <v>309</v>
      </c>
      <c r="Y137" s="46" t="s">
        <v>309</v>
      </c>
    </row>
    <row r="138" spans="1:25">
      <c r="A138" s="46">
        <v>46628</v>
      </c>
      <c r="B138" s="46">
        <v>46600</v>
      </c>
      <c r="C138" s="46" t="s">
        <v>410</v>
      </c>
      <c r="D138" s="46">
        <v>4</v>
      </c>
      <c r="E138" s="46">
        <v>3</v>
      </c>
      <c r="F138" s="46">
        <v>600</v>
      </c>
      <c r="G138" s="46">
        <v>24</v>
      </c>
      <c r="H138" s="46">
        <v>5</v>
      </c>
      <c r="I138" s="46">
        <v>759.00000000000011</v>
      </c>
      <c r="J138" s="46" t="s">
        <v>435</v>
      </c>
      <c r="K138" s="46" t="s">
        <v>440</v>
      </c>
      <c r="L138" s="46" t="s">
        <v>338</v>
      </c>
      <c r="M138" s="46" t="s">
        <v>303</v>
      </c>
      <c r="N138" s="46" t="s">
        <v>304</v>
      </c>
      <c r="O138" s="46" t="s">
        <v>412</v>
      </c>
      <c r="P138" s="46" t="s">
        <v>306</v>
      </c>
      <c r="Q138" s="54" t="s">
        <v>307</v>
      </c>
      <c r="R138" s="46">
        <v>319</v>
      </c>
      <c r="S138" s="46">
        <v>220</v>
      </c>
      <c r="T138" s="46">
        <v>3</v>
      </c>
      <c r="U138" s="46">
        <v>15</v>
      </c>
      <c r="V138" s="46">
        <v>46600</v>
      </c>
      <c r="W138" s="46" t="s">
        <v>267</v>
      </c>
      <c r="X138" s="46" t="s">
        <v>309</v>
      </c>
      <c r="Y138" s="46" t="s">
        <v>309</v>
      </c>
    </row>
    <row r="139" spans="1:25">
      <c r="A139" s="46">
        <v>46629</v>
      </c>
      <c r="B139" s="46">
        <v>46600</v>
      </c>
      <c r="C139" s="46" t="s">
        <v>410</v>
      </c>
      <c r="D139" s="46">
        <v>4</v>
      </c>
      <c r="E139" s="46">
        <v>4</v>
      </c>
      <c r="F139" s="46">
        <v>900</v>
      </c>
      <c r="G139" s="46">
        <v>24</v>
      </c>
      <c r="H139" s="46">
        <v>5</v>
      </c>
      <c r="I139" s="46">
        <v>803.00000000000011</v>
      </c>
      <c r="J139" s="46" t="s">
        <v>435</v>
      </c>
      <c r="K139" s="46" t="s">
        <v>440</v>
      </c>
      <c r="L139" s="46" t="s">
        <v>338</v>
      </c>
      <c r="M139" s="46" t="s">
        <v>303</v>
      </c>
      <c r="N139" s="46" t="s">
        <v>304</v>
      </c>
      <c r="O139" s="46" t="s">
        <v>412</v>
      </c>
      <c r="P139" s="46" t="s">
        <v>306</v>
      </c>
      <c r="Q139" s="54" t="s">
        <v>307</v>
      </c>
      <c r="R139" s="46">
        <v>332</v>
      </c>
      <c r="S139" s="46">
        <v>220</v>
      </c>
      <c r="T139" s="46">
        <v>3</v>
      </c>
      <c r="U139" s="46">
        <v>15</v>
      </c>
      <c r="V139" s="46">
        <v>46600</v>
      </c>
      <c r="W139" s="46" t="s">
        <v>267</v>
      </c>
      <c r="X139" s="46" t="s">
        <v>309</v>
      </c>
      <c r="Y139" s="46" t="s">
        <v>309</v>
      </c>
    </row>
    <row r="140" spans="1:25">
      <c r="A140" s="46">
        <v>46630</v>
      </c>
      <c r="B140" s="46">
        <v>46600</v>
      </c>
      <c r="C140" s="46" t="s">
        <v>410</v>
      </c>
      <c r="D140" s="46">
        <v>4</v>
      </c>
      <c r="E140" s="46">
        <v>5</v>
      </c>
      <c r="F140" s="46">
        <v>1300</v>
      </c>
      <c r="G140" s="46">
        <v>48</v>
      </c>
      <c r="H140" s="46">
        <v>6</v>
      </c>
      <c r="I140" s="46">
        <v>847.00000000000011</v>
      </c>
      <c r="J140" s="46" t="s">
        <v>435</v>
      </c>
      <c r="K140" s="46" t="s">
        <v>440</v>
      </c>
      <c r="L140" s="46" t="s">
        <v>338</v>
      </c>
      <c r="M140" s="46" t="s">
        <v>303</v>
      </c>
      <c r="N140" s="46" t="s">
        <v>304</v>
      </c>
      <c r="O140" s="46" t="s">
        <v>412</v>
      </c>
      <c r="P140" s="46" t="s">
        <v>306</v>
      </c>
      <c r="Q140" s="54" t="s">
        <v>307</v>
      </c>
      <c r="R140" s="46">
        <v>345</v>
      </c>
      <c r="S140" s="46">
        <v>220</v>
      </c>
      <c r="T140" s="46">
        <v>3</v>
      </c>
      <c r="U140" s="46">
        <v>15</v>
      </c>
      <c r="V140" s="46">
        <v>46600</v>
      </c>
      <c r="W140" s="46" t="s">
        <v>267</v>
      </c>
      <c r="X140" s="46" t="s">
        <v>309</v>
      </c>
      <c r="Y140" s="46" t="s">
        <v>309</v>
      </c>
    </row>
    <row r="141" spans="1:25">
      <c r="A141" s="46">
        <v>46631</v>
      </c>
      <c r="B141" s="46">
        <v>46600</v>
      </c>
      <c r="C141" s="46" t="s">
        <v>410</v>
      </c>
      <c r="D141" s="46">
        <v>5</v>
      </c>
      <c r="E141" s="46">
        <v>0</v>
      </c>
      <c r="F141" s="46">
        <v>1800</v>
      </c>
      <c r="G141" s="46">
        <v>48</v>
      </c>
      <c r="H141" s="46">
        <v>6</v>
      </c>
      <c r="I141" s="46">
        <v>913.00000000000011</v>
      </c>
      <c r="J141" s="46" t="s">
        <v>435</v>
      </c>
      <c r="K141" s="46" t="s">
        <v>441</v>
      </c>
      <c r="L141" s="46" t="s">
        <v>338</v>
      </c>
      <c r="M141" s="46" t="s">
        <v>303</v>
      </c>
      <c r="N141" s="46" t="s">
        <v>304</v>
      </c>
      <c r="O141" s="46" t="s">
        <v>412</v>
      </c>
      <c r="P141" s="46" t="s">
        <v>306</v>
      </c>
      <c r="Q141" s="54" t="s">
        <v>307</v>
      </c>
      <c r="R141" s="46">
        <v>360</v>
      </c>
      <c r="S141" s="46">
        <v>250</v>
      </c>
      <c r="T141" s="46">
        <v>3.5</v>
      </c>
      <c r="U141" s="46">
        <v>14</v>
      </c>
      <c r="V141" s="46">
        <v>46600</v>
      </c>
      <c r="W141" s="46" t="s">
        <v>267</v>
      </c>
      <c r="X141" s="46" t="s">
        <v>309</v>
      </c>
      <c r="Y141" s="46" t="s">
        <v>309</v>
      </c>
    </row>
    <row r="142" spans="1:25">
      <c r="A142" s="46">
        <v>46632</v>
      </c>
      <c r="B142" s="46">
        <v>46600</v>
      </c>
      <c r="C142" s="46" t="s">
        <v>410</v>
      </c>
      <c r="D142" s="46">
        <v>5</v>
      </c>
      <c r="E142" s="46">
        <v>1</v>
      </c>
      <c r="F142" s="46">
        <v>2400</v>
      </c>
      <c r="G142" s="46">
        <v>48</v>
      </c>
      <c r="H142" s="46">
        <v>6</v>
      </c>
      <c r="I142" s="46">
        <v>979.00000000000011</v>
      </c>
      <c r="J142" s="46" t="s">
        <v>435</v>
      </c>
      <c r="K142" s="46" t="s">
        <v>441</v>
      </c>
      <c r="L142" s="46" t="s">
        <v>338</v>
      </c>
      <c r="M142" s="46" t="s">
        <v>303</v>
      </c>
      <c r="N142" s="46" t="s">
        <v>304</v>
      </c>
      <c r="O142" s="46" t="s">
        <v>412</v>
      </c>
      <c r="P142" s="46" t="s">
        <v>306</v>
      </c>
      <c r="Q142" s="54" t="s">
        <v>307</v>
      </c>
      <c r="R142" s="46">
        <v>375</v>
      </c>
      <c r="S142" s="46">
        <v>250</v>
      </c>
      <c r="T142" s="46">
        <v>3.5</v>
      </c>
      <c r="U142" s="46">
        <v>14</v>
      </c>
      <c r="V142" s="46">
        <v>46600</v>
      </c>
      <c r="W142" s="46" t="s">
        <v>267</v>
      </c>
      <c r="X142" s="46" t="s">
        <v>309</v>
      </c>
      <c r="Y142" s="46" t="s">
        <v>309</v>
      </c>
    </row>
    <row r="143" spans="1:25">
      <c r="A143" s="46">
        <v>46633</v>
      </c>
      <c r="B143" s="46">
        <v>46600</v>
      </c>
      <c r="C143" s="46" t="s">
        <v>410</v>
      </c>
      <c r="D143" s="46">
        <v>5</v>
      </c>
      <c r="E143" s="46">
        <v>2</v>
      </c>
      <c r="F143" s="46">
        <v>3100</v>
      </c>
      <c r="G143" s="46">
        <v>48</v>
      </c>
      <c r="H143" s="46">
        <v>6</v>
      </c>
      <c r="I143" s="46">
        <v>1045</v>
      </c>
      <c r="J143" s="46" t="s">
        <v>435</v>
      </c>
      <c r="K143" s="46" t="s">
        <v>441</v>
      </c>
      <c r="L143" s="46" t="s">
        <v>338</v>
      </c>
      <c r="M143" s="46" t="s">
        <v>303</v>
      </c>
      <c r="N143" s="46" t="s">
        <v>304</v>
      </c>
      <c r="O143" s="46" t="s">
        <v>412</v>
      </c>
      <c r="P143" s="46" t="s">
        <v>306</v>
      </c>
      <c r="Q143" s="54" t="s">
        <v>307</v>
      </c>
      <c r="R143" s="46">
        <v>390</v>
      </c>
      <c r="S143" s="46">
        <v>250</v>
      </c>
      <c r="T143" s="46">
        <v>3.5</v>
      </c>
      <c r="U143" s="46">
        <v>13</v>
      </c>
      <c r="V143" s="46">
        <v>46600</v>
      </c>
      <c r="W143" s="46" t="s">
        <v>267</v>
      </c>
      <c r="X143" s="46" t="s">
        <v>309</v>
      </c>
      <c r="Y143" s="46" t="s">
        <v>309</v>
      </c>
    </row>
    <row r="144" spans="1:25">
      <c r="A144" s="46">
        <v>46634</v>
      </c>
      <c r="B144" s="46">
        <v>46600</v>
      </c>
      <c r="C144" s="46" t="s">
        <v>410</v>
      </c>
      <c r="D144" s="46">
        <v>5</v>
      </c>
      <c r="E144" s="46">
        <v>3</v>
      </c>
      <c r="F144" s="46">
        <v>4000</v>
      </c>
      <c r="G144" s="46">
        <v>48</v>
      </c>
      <c r="H144" s="46">
        <v>6</v>
      </c>
      <c r="I144" s="46">
        <v>1111</v>
      </c>
      <c r="J144" s="46" t="s">
        <v>435</v>
      </c>
      <c r="K144" s="46" t="s">
        <v>441</v>
      </c>
      <c r="L144" s="46" t="s">
        <v>338</v>
      </c>
      <c r="M144" s="46" t="s">
        <v>303</v>
      </c>
      <c r="N144" s="46" t="s">
        <v>304</v>
      </c>
      <c r="O144" s="46" t="s">
        <v>412</v>
      </c>
      <c r="P144" s="46" t="s">
        <v>306</v>
      </c>
      <c r="Q144" s="54" t="s">
        <v>307</v>
      </c>
      <c r="R144" s="46">
        <v>405</v>
      </c>
      <c r="S144" s="46">
        <v>250</v>
      </c>
      <c r="T144" s="46">
        <v>3.5</v>
      </c>
      <c r="U144" s="46">
        <v>13</v>
      </c>
      <c r="V144" s="46">
        <v>46600</v>
      </c>
      <c r="W144" s="46" t="s">
        <v>267</v>
      </c>
      <c r="X144" s="46" t="s">
        <v>309</v>
      </c>
      <c r="Y144" s="46" t="s">
        <v>309</v>
      </c>
    </row>
    <row r="145" spans="1:25">
      <c r="A145" s="46">
        <v>46635</v>
      </c>
      <c r="B145" s="46">
        <v>46600</v>
      </c>
      <c r="C145" s="46" t="s">
        <v>410</v>
      </c>
      <c r="D145" s="46">
        <v>5</v>
      </c>
      <c r="E145" s="46">
        <v>4</v>
      </c>
      <c r="F145" s="46">
        <v>5000</v>
      </c>
      <c r="G145" s="46">
        <v>48</v>
      </c>
      <c r="H145" s="46">
        <v>6</v>
      </c>
      <c r="I145" s="46">
        <v>1177</v>
      </c>
      <c r="J145" s="46" t="s">
        <v>435</v>
      </c>
      <c r="K145" s="46" t="s">
        <v>441</v>
      </c>
      <c r="L145" s="46" t="s">
        <v>338</v>
      </c>
      <c r="M145" s="46" t="s">
        <v>303</v>
      </c>
      <c r="N145" s="46" t="s">
        <v>304</v>
      </c>
      <c r="O145" s="46" t="s">
        <v>412</v>
      </c>
      <c r="P145" s="46" t="s">
        <v>306</v>
      </c>
      <c r="Q145" s="54" t="s">
        <v>307</v>
      </c>
      <c r="R145" s="46">
        <v>420</v>
      </c>
      <c r="S145" s="46">
        <v>250</v>
      </c>
      <c r="T145" s="46">
        <v>3.5</v>
      </c>
      <c r="U145" s="46">
        <v>12</v>
      </c>
      <c r="V145" s="46">
        <v>46600</v>
      </c>
      <c r="W145" s="46" t="s">
        <v>267</v>
      </c>
      <c r="X145" s="46" t="s">
        <v>309</v>
      </c>
      <c r="Y145" s="46" t="s">
        <v>309</v>
      </c>
    </row>
    <row r="146" spans="1:25">
      <c r="A146" s="46">
        <v>46636</v>
      </c>
      <c r="B146" s="46">
        <v>46600</v>
      </c>
      <c r="C146" s="46" t="s">
        <v>410</v>
      </c>
      <c r="D146" s="46">
        <v>5</v>
      </c>
      <c r="E146" s="46">
        <v>5</v>
      </c>
      <c r="F146" s="46">
        <v>0</v>
      </c>
      <c r="G146" s="46">
        <v>0</v>
      </c>
      <c r="H146" s="46">
        <v>6</v>
      </c>
      <c r="I146" s="46">
        <v>1243</v>
      </c>
      <c r="J146" s="46" t="s">
        <v>435</v>
      </c>
      <c r="K146" s="46" t="s">
        <v>441</v>
      </c>
      <c r="L146" s="46" t="s">
        <v>338</v>
      </c>
      <c r="M146" s="46" t="s">
        <v>303</v>
      </c>
      <c r="N146" s="46" t="s">
        <v>304</v>
      </c>
      <c r="O146" s="46" t="s">
        <v>412</v>
      </c>
      <c r="P146" s="46" t="s">
        <v>306</v>
      </c>
      <c r="Q146" s="54" t="s">
        <v>307</v>
      </c>
      <c r="R146" s="46">
        <v>435</v>
      </c>
      <c r="S146" s="46">
        <v>250</v>
      </c>
      <c r="T146" s="46">
        <v>3.5</v>
      </c>
      <c r="U146" s="46">
        <v>11</v>
      </c>
      <c r="V146" s="46">
        <v>46600</v>
      </c>
      <c r="W146" s="46" t="s">
        <v>267</v>
      </c>
      <c r="X146" s="46" t="s">
        <v>309</v>
      </c>
      <c r="Y146" s="46" t="s">
        <v>309</v>
      </c>
    </row>
  </sheetData>
  <phoneticPr fontId="3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G3"/>
  <sheetViews>
    <sheetView workbookViewId="0">
      <selection activeCell="B1" sqref="B1"/>
    </sheetView>
  </sheetViews>
  <sheetFormatPr defaultRowHeight="16.5"/>
  <cols>
    <col min="3" max="3" width="12.625" bestFit="1" customWidth="1"/>
    <col min="4" max="4" width="14.875" bestFit="1" customWidth="1"/>
    <col min="5" max="5" width="12.375" bestFit="1" customWidth="1"/>
    <col min="6" max="6" width="8.125" bestFit="1" customWidth="1"/>
    <col min="7" max="7" width="25.5" bestFit="1" customWidth="1"/>
  </cols>
  <sheetData>
    <row r="1" spans="1:7">
      <c r="A1" s="38" t="s">
        <v>442</v>
      </c>
      <c r="B1" s="38" t="s">
        <v>1163</v>
      </c>
      <c r="C1" s="38" t="s">
        <v>444</v>
      </c>
      <c r="D1" s="38" t="s">
        <v>445</v>
      </c>
      <c r="E1" s="38" t="s">
        <v>446</v>
      </c>
      <c r="F1" s="38" t="s">
        <v>447</v>
      </c>
      <c r="G1" s="38" t="s">
        <v>448</v>
      </c>
    </row>
    <row r="2" spans="1:7">
      <c r="A2" s="46">
        <v>43200</v>
      </c>
      <c r="B2" s="46" t="s">
        <v>449</v>
      </c>
      <c r="C2" s="46">
        <v>0</v>
      </c>
      <c r="D2" s="46">
        <v>0</v>
      </c>
      <c r="E2" s="46">
        <v>3</v>
      </c>
      <c r="F2" s="46">
        <v>1</v>
      </c>
      <c r="G2" s="46" t="s">
        <v>450</v>
      </c>
    </row>
    <row r="3" spans="1:7">
      <c r="A3" s="46">
        <v>43600</v>
      </c>
      <c r="B3" s="46" t="s">
        <v>451</v>
      </c>
      <c r="C3" s="46">
        <v>0</v>
      </c>
      <c r="D3" s="46">
        <v>0</v>
      </c>
      <c r="E3" s="46">
        <v>3</v>
      </c>
      <c r="F3" s="46">
        <v>1</v>
      </c>
      <c r="G3" s="46" t="s">
        <v>452</v>
      </c>
    </row>
  </sheetData>
  <phoneticPr fontId="3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13"/>
  <sheetViews>
    <sheetView workbookViewId="0">
      <selection activeCell="E26" sqref="E26"/>
    </sheetView>
  </sheetViews>
  <sheetFormatPr defaultRowHeight="16.5"/>
  <cols>
    <col min="1" max="1" width="9" style="48"/>
    <col min="2" max="2" width="21.75" style="48" customWidth="1"/>
    <col min="3" max="3" width="15.375" style="48" customWidth="1"/>
    <col min="4" max="4" width="17.625" style="48" customWidth="1"/>
    <col min="5" max="5" width="18.75" style="48" customWidth="1"/>
    <col min="6" max="6" width="26.625" style="48" customWidth="1"/>
    <col min="7" max="7" width="20.625" style="48" customWidth="1"/>
    <col min="8" max="8" width="25.25" style="48" bestFit="1" customWidth="1"/>
    <col min="9" max="9" width="25.375" style="48" bestFit="1" customWidth="1"/>
    <col min="10" max="10" width="27.5" style="48" bestFit="1" customWidth="1"/>
    <col min="11" max="11" width="23" style="48" bestFit="1" customWidth="1"/>
    <col min="12" max="16384" width="9" style="48"/>
  </cols>
  <sheetData>
    <row r="1" spans="1:11">
      <c r="A1" s="38" t="s">
        <v>453</v>
      </c>
      <c r="B1" s="38" t="s">
        <v>454</v>
      </c>
      <c r="C1" s="38" t="s">
        <v>455</v>
      </c>
      <c r="D1" s="38" t="s">
        <v>456</v>
      </c>
      <c r="E1" s="38" t="s">
        <v>457</v>
      </c>
      <c r="F1" s="38" t="s">
        <v>458</v>
      </c>
      <c r="G1" s="38" t="s">
        <v>459</v>
      </c>
      <c r="H1" s="38" t="s">
        <v>460</v>
      </c>
      <c r="I1" s="38" t="s">
        <v>461</v>
      </c>
      <c r="J1" s="38" t="s">
        <v>462</v>
      </c>
      <c r="K1" s="38" t="s">
        <v>463</v>
      </c>
    </row>
    <row r="2" spans="1:11">
      <c r="A2" s="46">
        <v>1</v>
      </c>
      <c r="B2" s="46">
        <v>1000</v>
      </c>
      <c r="C2" s="46">
        <v>100</v>
      </c>
      <c r="D2" s="46">
        <v>10</v>
      </c>
      <c r="E2" s="46">
        <v>100</v>
      </c>
      <c r="F2" s="46">
        <v>60</v>
      </c>
      <c r="G2" s="46">
        <v>10</v>
      </c>
      <c r="H2" s="46">
        <v>200</v>
      </c>
      <c r="I2" s="46">
        <v>500</v>
      </c>
      <c r="J2" s="46">
        <v>1</v>
      </c>
      <c r="K2" s="46">
        <v>3000</v>
      </c>
    </row>
    <row r="3" spans="1:11">
      <c r="A3" s="46">
        <v>2</v>
      </c>
      <c r="B3" s="46">
        <v>1500</v>
      </c>
      <c r="C3" s="46">
        <v>100</v>
      </c>
      <c r="D3" s="46">
        <v>10</v>
      </c>
      <c r="E3" s="46">
        <v>100</v>
      </c>
      <c r="F3" s="46">
        <v>60</v>
      </c>
      <c r="G3" s="46">
        <v>10</v>
      </c>
      <c r="H3" s="46">
        <v>200</v>
      </c>
      <c r="I3" s="46">
        <v>500</v>
      </c>
      <c r="J3" s="46">
        <v>1</v>
      </c>
      <c r="K3" s="46">
        <v>3500</v>
      </c>
    </row>
    <row r="4" spans="1:11">
      <c r="A4" s="46">
        <v>3</v>
      </c>
      <c r="B4" s="46">
        <v>1500</v>
      </c>
      <c r="C4" s="46">
        <v>100</v>
      </c>
      <c r="D4" s="46">
        <v>10</v>
      </c>
      <c r="E4" s="46">
        <v>100</v>
      </c>
      <c r="F4" s="46">
        <v>60</v>
      </c>
      <c r="G4" s="46">
        <v>10</v>
      </c>
      <c r="H4" s="46">
        <v>500</v>
      </c>
      <c r="I4" s="46">
        <v>500</v>
      </c>
      <c r="J4" s="46">
        <v>1</v>
      </c>
      <c r="K4" s="46">
        <v>4000</v>
      </c>
    </row>
    <row r="5" spans="1:11">
      <c r="A5" s="46">
        <v>4</v>
      </c>
      <c r="B5" s="46">
        <v>1500</v>
      </c>
      <c r="C5" s="46">
        <v>100</v>
      </c>
      <c r="D5" s="46">
        <v>10</v>
      </c>
      <c r="E5" s="46">
        <v>100</v>
      </c>
      <c r="F5" s="46">
        <v>60</v>
      </c>
      <c r="G5" s="46">
        <v>10</v>
      </c>
      <c r="H5" s="46">
        <v>500</v>
      </c>
      <c r="I5" s="46">
        <v>500</v>
      </c>
      <c r="J5" s="46">
        <v>1</v>
      </c>
      <c r="K5" s="46">
        <v>4500</v>
      </c>
    </row>
    <row r="6" spans="1:11">
      <c r="A6" s="46">
        <v>5</v>
      </c>
      <c r="B6" s="46">
        <v>1500</v>
      </c>
      <c r="C6" s="46">
        <v>100</v>
      </c>
      <c r="D6" s="46">
        <v>10</v>
      </c>
      <c r="E6" s="46">
        <v>100</v>
      </c>
      <c r="F6" s="46">
        <v>60</v>
      </c>
      <c r="G6" s="46">
        <v>15</v>
      </c>
      <c r="H6" s="46">
        <v>500</v>
      </c>
      <c r="I6" s="46">
        <v>500</v>
      </c>
      <c r="J6" s="46">
        <v>2</v>
      </c>
      <c r="K6" s="46">
        <v>5000</v>
      </c>
    </row>
    <row r="7" spans="1:11">
      <c r="A7" s="46">
        <v>6</v>
      </c>
      <c r="B7" s="46">
        <v>1500</v>
      </c>
      <c r="C7" s="46">
        <v>200</v>
      </c>
      <c r="D7" s="46">
        <v>10</v>
      </c>
      <c r="E7" s="46">
        <v>100</v>
      </c>
      <c r="F7" s="46">
        <v>30</v>
      </c>
      <c r="G7" s="46">
        <v>15</v>
      </c>
      <c r="H7" s="46">
        <v>500</v>
      </c>
      <c r="I7" s="46">
        <v>1000</v>
      </c>
      <c r="J7" s="46">
        <v>2</v>
      </c>
      <c r="K7" s="46">
        <v>5500</v>
      </c>
    </row>
    <row r="8" spans="1:11">
      <c r="A8" s="46">
        <v>7</v>
      </c>
      <c r="B8" s="46">
        <v>1500</v>
      </c>
      <c r="C8" s="46">
        <v>200</v>
      </c>
      <c r="D8" s="46">
        <v>10</v>
      </c>
      <c r="E8" s="46">
        <v>100</v>
      </c>
      <c r="F8" s="46">
        <v>30</v>
      </c>
      <c r="G8" s="46">
        <v>20</v>
      </c>
      <c r="H8" s="46">
        <v>500</v>
      </c>
      <c r="I8" s="46">
        <v>1000</v>
      </c>
      <c r="J8" s="46">
        <v>2</v>
      </c>
      <c r="K8" s="46">
        <v>6000</v>
      </c>
    </row>
    <row r="9" spans="1:11">
      <c r="A9" s="46">
        <v>8</v>
      </c>
      <c r="B9" s="46">
        <v>1500</v>
      </c>
      <c r="C9" s="46">
        <v>200</v>
      </c>
      <c r="D9" s="46">
        <v>10</v>
      </c>
      <c r="E9" s="46">
        <v>100</v>
      </c>
      <c r="F9" s="46">
        <v>30</v>
      </c>
      <c r="G9" s="46">
        <v>20</v>
      </c>
      <c r="H9" s="46">
        <v>500</v>
      </c>
      <c r="I9" s="46">
        <v>1000</v>
      </c>
      <c r="J9" s="46">
        <v>2</v>
      </c>
      <c r="K9" s="46">
        <v>6500</v>
      </c>
    </row>
    <row r="10" spans="1:11">
      <c r="A10" s="46">
        <v>9</v>
      </c>
      <c r="B10" s="46">
        <v>1500</v>
      </c>
      <c r="C10" s="46">
        <v>200</v>
      </c>
      <c r="D10" s="46">
        <v>10</v>
      </c>
      <c r="E10" s="46">
        <v>100</v>
      </c>
      <c r="F10" s="46">
        <v>30</v>
      </c>
      <c r="G10" s="46">
        <v>30</v>
      </c>
      <c r="H10" s="46">
        <v>1000</v>
      </c>
      <c r="I10" s="46">
        <v>1000</v>
      </c>
      <c r="J10" s="46">
        <v>3</v>
      </c>
      <c r="K10" s="46">
        <v>7000</v>
      </c>
    </row>
    <row r="11" spans="1:11">
      <c r="A11" s="46">
        <v>10</v>
      </c>
      <c r="B11" s="46">
        <v>1500</v>
      </c>
      <c r="C11" s="46">
        <v>200</v>
      </c>
      <c r="D11" s="46">
        <v>10</v>
      </c>
      <c r="E11" s="46">
        <v>100</v>
      </c>
      <c r="F11" s="46">
        <v>30</v>
      </c>
      <c r="G11" s="46">
        <v>30</v>
      </c>
      <c r="H11" s="46">
        <v>1000</v>
      </c>
      <c r="I11" s="46">
        <v>1000</v>
      </c>
      <c r="J11" s="46">
        <v>3</v>
      </c>
      <c r="K11" s="46">
        <v>7500</v>
      </c>
    </row>
    <row r="12" spans="1:11">
      <c r="A12" s="46">
        <v>11</v>
      </c>
      <c r="B12" s="46">
        <v>1500</v>
      </c>
      <c r="C12" s="46">
        <v>200</v>
      </c>
      <c r="D12" s="46">
        <v>10</v>
      </c>
      <c r="E12" s="46">
        <v>100</v>
      </c>
      <c r="F12" s="46">
        <v>30</v>
      </c>
      <c r="G12" s="46">
        <v>30</v>
      </c>
      <c r="H12" s="46">
        <v>1000</v>
      </c>
      <c r="I12" s="46">
        <v>1000</v>
      </c>
      <c r="J12" s="46">
        <v>3</v>
      </c>
      <c r="K12" s="46">
        <v>8000</v>
      </c>
    </row>
    <row r="13" spans="1:11">
      <c r="A13" s="46">
        <v>12</v>
      </c>
      <c r="B13" s="46">
        <v>1500</v>
      </c>
      <c r="C13" s="46">
        <v>200</v>
      </c>
      <c r="D13" s="46">
        <v>10</v>
      </c>
      <c r="E13" s="46">
        <v>100</v>
      </c>
      <c r="F13" s="46">
        <v>30</v>
      </c>
      <c r="G13" s="46">
        <v>30</v>
      </c>
      <c r="H13" s="46">
        <v>1000</v>
      </c>
      <c r="I13" s="46">
        <v>1000</v>
      </c>
      <c r="J13" s="46">
        <v>3</v>
      </c>
      <c r="K13" s="46">
        <v>8500</v>
      </c>
    </row>
  </sheetData>
  <phoneticPr fontId="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K27"/>
  <sheetViews>
    <sheetView workbookViewId="0">
      <selection activeCell="B1" sqref="B1"/>
    </sheetView>
  </sheetViews>
  <sheetFormatPr defaultRowHeight="16.5"/>
  <cols>
    <col min="1" max="1" width="17.875" style="48" bestFit="1" customWidth="1"/>
    <col min="2" max="2" width="25.25" style="48" customWidth="1"/>
    <col min="3" max="11" width="10.25" style="48" bestFit="1" customWidth="1"/>
    <col min="12" max="16384" width="9" style="48"/>
  </cols>
  <sheetData>
    <row r="1" spans="1:11">
      <c r="A1" s="38" t="s">
        <v>464</v>
      </c>
      <c r="B1" s="38" t="s">
        <v>1162</v>
      </c>
      <c r="C1" s="38" t="s">
        <v>466</v>
      </c>
      <c r="D1" s="38" t="s">
        <v>467</v>
      </c>
      <c r="E1" s="38" t="s">
        <v>468</v>
      </c>
      <c r="F1" s="38" t="s">
        <v>469</v>
      </c>
      <c r="G1" s="38" t="s">
        <v>470</v>
      </c>
      <c r="H1" s="38" t="s">
        <v>471</v>
      </c>
      <c r="I1" s="38" t="s">
        <v>472</v>
      </c>
      <c r="J1" s="38" t="s">
        <v>473</v>
      </c>
      <c r="K1" s="38" t="s">
        <v>474</v>
      </c>
    </row>
    <row r="2" spans="1:11">
      <c r="A2" s="46">
        <v>9999</v>
      </c>
      <c r="B2" s="46" t="s">
        <v>475</v>
      </c>
      <c r="C2" s="46">
        <v>2</v>
      </c>
      <c r="D2" s="46">
        <v>2</v>
      </c>
      <c r="E2" s="46">
        <v>2</v>
      </c>
      <c r="F2" s="46">
        <v>2</v>
      </c>
      <c r="G2" s="46">
        <v>2</v>
      </c>
      <c r="H2" s="46">
        <v>2</v>
      </c>
      <c r="I2" s="46">
        <v>2</v>
      </c>
      <c r="J2" s="46">
        <v>2</v>
      </c>
      <c r="K2" s="46">
        <v>2</v>
      </c>
    </row>
    <row r="3" spans="1:11">
      <c r="A3" s="46">
        <v>10000</v>
      </c>
      <c r="B3" s="46" t="s">
        <v>476</v>
      </c>
      <c r="C3" s="46">
        <v>1</v>
      </c>
      <c r="D3" s="46">
        <v>1</v>
      </c>
      <c r="E3" s="46">
        <v>1</v>
      </c>
      <c r="F3" s="46">
        <v>1</v>
      </c>
      <c r="G3" s="46">
        <v>1</v>
      </c>
      <c r="H3" s="46">
        <v>1</v>
      </c>
      <c r="I3" s="46">
        <v>1</v>
      </c>
      <c r="J3" s="46">
        <v>1</v>
      </c>
      <c r="K3" s="46">
        <v>1</v>
      </c>
    </row>
    <row r="4" spans="1:11">
      <c r="A4" s="46">
        <v>10100</v>
      </c>
      <c r="B4" s="46" t="s">
        <v>477</v>
      </c>
      <c r="C4" s="46">
        <v>1</v>
      </c>
      <c r="D4" s="46">
        <v>1</v>
      </c>
      <c r="E4" s="46">
        <v>1</v>
      </c>
      <c r="F4" s="46">
        <v>1</v>
      </c>
      <c r="G4" s="46">
        <v>1</v>
      </c>
      <c r="H4" s="46">
        <v>1</v>
      </c>
      <c r="I4" s="46">
        <v>1</v>
      </c>
      <c r="J4" s="46">
        <v>1</v>
      </c>
      <c r="K4" s="46">
        <v>1</v>
      </c>
    </row>
    <row r="5" spans="1:11">
      <c r="A5" s="46">
        <v>10200</v>
      </c>
      <c r="B5" s="46" t="s">
        <v>478</v>
      </c>
      <c r="C5" s="46">
        <v>0</v>
      </c>
      <c r="D5" s="46">
        <v>0</v>
      </c>
      <c r="E5" s="46">
        <v>0</v>
      </c>
      <c r="F5" s="46">
        <v>0</v>
      </c>
      <c r="G5" s="46">
        <v>1</v>
      </c>
      <c r="H5" s="46">
        <v>1</v>
      </c>
      <c r="I5" s="46">
        <v>1</v>
      </c>
      <c r="J5" s="46">
        <v>1</v>
      </c>
      <c r="K5" s="46">
        <v>1</v>
      </c>
    </row>
    <row r="6" spans="1:11">
      <c r="A6" s="46">
        <v>10300</v>
      </c>
      <c r="B6" s="46" t="s">
        <v>479</v>
      </c>
      <c r="C6" s="46">
        <v>1</v>
      </c>
      <c r="D6" s="46">
        <v>1</v>
      </c>
      <c r="E6" s="46">
        <v>1</v>
      </c>
      <c r="F6" s="46">
        <v>1</v>
      </c>
      <c r="G6" s="46">
        <v>1</v>
      </c>
      <c r="H6" s="46">
        <v>1</v>
      </c>
      <c r="I6" s="46">
        <v>1</v>
      </c>
      <c r="J6" s="46">
        <v>1</v>
      </c>
      <c r="K6" s="46">
        <v>1</v>
      </c>
    </row>
    <row r="7" spans="1:11">
      <c r="A7" s="46">
        <v>10400</v>
      </c>
      <c r="B7" s="46" t="s">
        <v>480</v>
      </c>
      <c r="C7" s="46">
        <v>0</v>
      </c>
      <c r="D7" s="46">
        <v>0</v>
      </c>
      <c r="E7" s="46">
        <v>0</v>
      </c>
      <c r="F7" s="46">
        <v>0</v>
      </c>
      <c r="G7" s="46">
        <v>0</v>
      </c>
      <c r="H7" s="46">
        <v>0</v>
      </c>
      <c r="I7" s="46">
        <v>0</v>
      </c>
      <c r="J7" s="46">
        <v>0</v>
      </c>
      <c r="K7" s="46">
        <v>0</v>
      </c>
    </row>
    <row r="8" spans="1:11">
      <c r="A8" s="46">
        <v>10500</v>
      </c>
      <c r="B8" s="46" t="s">
        <v>253</v>
      </c>
      <c r="C8" s="46">
        <v>2</v>
      </c>
      <c r="D8" s="46">
        <v>2</v>
      </c>
      <c r="E8" s="46">
        <v>3</v>
      </c>
      <c r="F8" s="46">
        <v>3</v>
      </c>
      <c r="G8" s="46">
        <v>4</v>
      </c>
      <c r="H8" s="46">
        <v>4</v>
      </c>
      <c r="I8" s="46">
        <v>5</v>
      </c>
      <c r="J8" s="46">
        <v>5</v>
      </c>
      <c r="K8" s="46">
        <v>5</v>
      </c>
    </row>
    <row r="9" spans="1:11">
      <c r="A9" s="46">
        <v>10600</v>
      </c>
      <c r="B9" s="46" t="s">
        <v>255</v>
      </c>
      <c r="C9" s="46">
        <v>2</v>
      </c>
      <c r="D9" s="46">
        <v>2</v>
      </c>
      <c r="E9" s="46">
        <v>3</v>
      </c>
      <c r="F9" s="46">
        <v>3</v>
      </c>
      <c r="G9" s="46">
        <v>4</v>
      </c>
      <c r="H9" s="46">
        <v>4</v>
      </c>
      <c r="I9" s="46">
        <v>5</v>
      </c>
      <c r="J9" s="46">
        <v>5</v>
      </c>
      <c r="K9" s="46">
        <v>5</v>
      </c>
    </row>
    <row r="10" spans="1:11">
      <c r="A10" s="46">
        <v>10700</v>
      </c>
      <c r="B10" s="46" t="s">
        <v>256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1</v>
      </c>
      <c r="I10" s="46">
        <v>1</v>
      </c>
      <c r="J10" s="46">
        <v>1</v>
      </c>
      <c r="K10" s="46">
        <v>2</v>
      </c>
    </row>
    <row r="11" spans="1:11">
      <c r="A11" s="46">
        <v>10800</v>
      </c>
      <c r="B11" s="46" t="s">
        <v>481</v>
      </c>
      <c r="C11" s="46">
        <v>1</v>
      </c>
      <c r="D11" s="46">
        <v>2</v>
      </c>
      <c r="E11" s="46">
        <v>2</v>
      </c>
      <c r="F11" s="46">
        <v>2</v>
      </c>
      <c r="G11" s="46">
        <v>2</v>
      </c>
      <c r="H11" s="46">
        <v>3</v>
      </c>
      <c r="I11" s="46">
        <v>3</v>
      </c>
      <c r="J11" s="46">
        <v>3</v>
      </c>
      <c r="K11" s="46">
        <v>4</v>
      </c>
    </row>
    <row r="12" spans="1:11">
      <c r="A12" s="46">
        <v>10900</v>
      </c>
      <c r="B12" s="46" t="s">
        <v>482</v>
      </c>
      <c r="C12" s="46">
        <v>1</v>
      </c>
      <c r="D12" s="46">
        <v>2</v>
      </c>
      <c r="E12" s="46">
        <v>2</v>
      </c>
      <c r="F12" s="46">
        <v>2</v>
      </c>
      <c r="G12" s="46">
        <v>2</v>
      </c>
      <c r="H12" s="46">
        <v>3</v>
      </c>
      <c r="I12" s="46">
        <v>3</v>
      </c>
      <c r="J12" s="46">
        <v>3</v>
      </c>
      <c r="K12" s="46">
        <v>4</v>
      </c>
    </row>
    <row r="13" spans="1:11">
      <c r="A13" s="46">
        <v>11000</v>
      </c>
      <c r="B13" s="46" t="s">
        <v>483</v>
      </c>
      <c r="C13" s="46">
        <v>0</v>
      </c>
      <c r="D13" s="46">
        <v>0</v>
      </c>
      <c r="E13" s="46">
        <v>0</v>
      </c>
      <c r="F13" s="46">
        <v>0</v>
      </c>
      <c r="G13" s="46">
        <v>0</v>
      </c>
      <c r="H13" s="46">
        <v>1</v>
      </c>
      <c r="I13" s="46">
        <v>1</v>
      </c>
      <c r="J13" s="46">
        <v>1</v>
      </c>
      <c r="K13" s="46">
        <v>2</v>
      </c>
    </row>
    <row r="14" spans="1:11">
      <c r="A14" s="46">
        <v>11100</v>
      </c>
      <c r="B14" s="46" t="s">
        <v>484</v>
      </c>
      <c r="C14" s="46">
        <v>1</v>
      </c>
      <c r="D14" s="46">
        <v>1</v>
      </c>
      <c r="E14" s="46">
        <v>1</v>
      </c>
      <c r="F14" s="46">
        <v>1</v>
      </c>
      <c r="G14" s="46">
        <v>1</v>
      </c>
      <c r="H14" s="46">
        <v>1</v>
      </c>
      <c r="I14" s="46">
        <v>1</v>
      </c>
      <c r="J14" s="46">
        <v>1</v>
      </c>
      <c r="K14" s="46">
        <v>1</v>
      </c>
    </row>
    <row r="15" spans="1:11">
      <c r="A15" s="46">
        <v>11200</v>
      </c>
      <c r="B15" s="46" t="s">
        <v>485</v>
      </c>
      <c r="C15" s="46">
        <v>3</v>
      </c>
      <c r="D15" s="46">
        <v>4</v>
      </c>
      <c r="E15" s="46">
        <v>5</v>
      </c>
      <c r="F15" s="46">
        <v>6</v>
      </c>
      <c r="G15" s="46">
        <v>7</v>
      </c>
      <c r="H15" s="46">
        <v>9</v>
      </c>
      <c r="I15" s="46">
        <v>11</v>
      </c>
      <c r="J15" s="46">
        <v>13</v>
      </c>
      <c r="K15" s="46">
        <v>15</v>
      </c>
    </row>
    <row r="16" spans="1:11">
      <c r="A16" s="46">
        <v>11300</v>
      </c>
      <c r="B16" s="46" t="s">
        <v>486</v>
      </c>
      <c r="C16" s="46">
        <v>1</v>
      </c>
      <c r="D16" s="46">
        <v>1</v>
      </c>
      <c r="E16" s="46">
        <v>1</v>
      </c>
      <c r="F16" s="46">
        <v>1</v>
      </c>
      <c r="G16" s="46">
        <v>1</v>
      </c>
      <c r="H16" s="46">
        <v>1</v>
      </c>
      <c r="I16" s="46">
        <v>1</v>
      </c>
      <c r="J16" s="46">
        <v>1</v>
      </c>
      <c r="K16" s="46">
        <v>1</v>
      </c>
    </row>
    <row r="17" spans="1:11">
      <c r="A17" s="46">
        <v>11400</v>
      </c>
      <c r="B17" s="46" t="s">
        <v>487</v>
      </c>
      <c r="C17" s="46">
        <v>1</v>
      </c>
      <c r="D17" s="46">
        <v>1</v>
      </c>
      <c r="E17" s="46">
        <v>1</v>
      </c>
      <c r="F17" s="46">
        <v>1</v>
      </c>
      <c r="G17" s="46">
        <v>1</v>
      </c>
      <c r="H17" s="46">
        <v>1</v>
      </c>
      <c r="I17" s="46">
        <v>1</v>
      </c>
      <c r="J17" s="46">
        <v>1</v>
      </c>
      <c r="K17" s="46">
        <v>1</v>
      </c>
    </row>
    <row r="18" spans="1:11">
      <c r="A18" s="46">
        <v>15000</v>
      </c>
      <c r="B18" s="46" t="s">
        <v>488</v>
      </c>
      <c r="C18" s="46">
        <v>1</v>
      </c>
      <c r="D18" s="46">
        <v>2</v>
      </c>
      <c r="E18" s="46">
        <v>3</v>
      </c>
      <c r="F18" s="46">
        <v>3</v>
      </c>
      <c r="G18" s="46">
        <v>4</v>
      </c>
      <c r="H18" s="46">
        <v>4</v>
      </c>
      <c r="I18" s="46">
        <v>5</v>
      </c>
      <c r="J18" s="46">
        <v>5</v>
      </c>
      <c r="K18" s="46">
        <v>6</v>
      </c>
    </row>
    <row r="19" spans="1:11">
      <c r="A19" s="46">
        <v>15100</v>
      </c>
      <c r="B19" s="46" t="s">
        <v>489</v>
      </c>
      <c r="C19" s="46">
        <v>1</v>
      </c>
      <c r="D19" s="46">
        <v>2</v>
      </c>
      <c r="E19" s="46">
        <v>3</v>
      </c>
      <c r="F19" s="46">
        <v>3</v>
      </c>
      <c r="G19" s="46">
        <v>4</v>
      </c>
      <c r="H19" s="46">
        <v>4</v>
      </c>
      <c r="I19" s="46">
        <v>5</v>
      </c>
      <c r="J19" s="46">
        <v>5</v>
      </c>
      <c r="K19" s="46">
        <v>6</v>
      </c>
    </row>
    <row r="20" spans="1:11">
      <c r="A20" s="46">
        <v>15200</v>
      </c>
      <c r="B20" s="46" t="s">
        <v>208</v>
      </c>
      <c r="C20" s="46">
        <v>0</v>
      </c>
      <c r="D20" s="46">
        <v>1</v>
      </c>
      <c r="E20" s="46">
        <v>2</v>
      </c>
      <c r="F20" s="46">
        <v>3</v>
      </c>
      <c r="G20" s="46">
        <v>3</v>
      </c>
      <c r="H20" s="46">
        <v>4</v>
      </c>
      <c r="I20" s="46">
        <v>4</v>
      </c>
      <c r="J20" s="46">
        <v>5</v>
      </c>
      <c r="K20" s="46">
        <v>5</v>
      </c>
    </row>
    <row r="21" spans="1:11">
      <c r="A21" s="46">
        <v>15300</v>
      </c>
      <c r="B21" s="46" t="s">
        <v>210</v>
      </c>
      <c r="C21" s="46">
        <v>0</v>
      </c>
      <c r="D21" s="46">
        <v>0</v>
      </c>
      <c r="E21" s="46">
        <v>0</v>
      </c>
      <c r="F21" s="46">
        <v>1</v>
      </c>
      <c r="G21" s="46">
        <v>1</v>
      </c>
      <c r="H21" s="46">
        <v>2</v>
      </c>
      <c r="I21" s="46">
        <v>2</v>
      </c>
      <c r="J21" s="46">
        <v>2</v>
      </c>
      <c r="K21" s="46">
        <v>3</v>
      </c>
    </row>
    <row r="22" spans="1:11">
      <c r="A22" s="46">
        <v>15400</v>
      </c>
      <c r="B22" s="46" t="s">
        <v>490</v>
      </c>
      <c r="C22" s="46">
        <v>0</v>
      </c>
      <c r="D22" s="46">
        <v>0</v>
      </c>
      <c r="E22" s="46">
        <v>1</v>
      </c>
      <c r="F22" s="46">
        <v>1</v>
      </c>
      <c r="G22" s="46">
        <v>2</v>
      </c>
      <c r="H22" s="46">
        <v>2</v>
      </c>
      <c r="I22" s="46">
        <v>3</v>
      </c>
      <c r="J22" s="46">
        <v>3</v>
      </c>
      <c r="K22" s="46">
        <v>3</v>
      </c>
    </row>
    <row r="23" spans="1:11">
      <c r="A23" s="46">
        <v>15500</v>
      </c>
      <c r="B23" s="46" t="s">
        <v>214</v>
      </c>
      <c r="C23" s="46">
        <v>0</v>
      </c>
      <c r="D23" s="46">
        <v>0</v>
      </c>
      <c r="E23" s="46">
        <v>1</v>
      </c>
      <c r="F23" s="46">
        <v>2</v>
      </c>
      <c r="G23" s="46">
        <v>2</v>
      </c>
      <c r="H23" s="46">
        <v>2</v>
      </c>
      <c r="I23" s="46">
        <v>3</v>
      </c>
      <c r="J23" s="46">
        <v>3</v>
      </c>
      <c r="K23" s="46">
        <v>4</v>
      </c>
    </row>
    <row r="24" spans="1:11">
      <c r="A24" s="46">
        <v>15600</v>
      </c>
      <c r="B24" s="46" t="s">
        <v>216</v>
      </c>
      <c r="C24" s="46">
        <v>0</v>
      </c>
      <c r="D24" s="46">
        <v>0</v>
      </c>
      <c r="E24" s="46">
        <v>0</v>
      </c>
      <c r="F24" s="46">
        <v>0</v>
      </c>
      <c r="G24" s="46">
        <v>0</v>
      </c>
      <c r="H24" s="46">
        <v>1</v>
      </c>
      <c r="I24" s="46">
        <v>1</v>
      </c>
      <c r="J24" s="46">
        <v>2</v>
      </c>
      <c r="K24" s="46">
        <v>2</v>
      </c>
    </row>
    <row r="25" spans="1:11">
      <c r="A25" s="46">
        <v>15700</v>
      </c>
      <c r="B25" s="46" t="s">
        <v>218</v>
      </c>
      <c r="C25" s="46">
        <v>0</v>
      </c>
      <c r="D25" s="46">
        <v>0</v>
      </c>
      <c r="E25" s="46">
        <v>0</v>
      </c>
      <c r="F25" s="46">
        <v>1</v>
      </c>
      <c r="G25" s="46">
        <v>2</v>
      </c>
      <c r="H25" s="46">
        <v>2</v>
      </c>
      <c r="I25" s="46">
        <v>3</v>
      </c>
      <c r="J25" s="46">
        <v>3</v>
      </c>
      <c r="K25" s="46">
        <v>3</v>
      </c>
    </row>
    <row r="26" spans="1:11">
      <c r="A26" s="46">
        <v>15800</v>
      </c>
      <c r="B26" s="46" t="s">
        <v>220</v>
      </c>
      <c r="C26" s="46">
        <v>0</v>
      </c>
      <c r="D26" s="46">
        <v>0</v>
      </c>
      <c r="E26" s="46">
        <v>0</v>
      </c>
      <c r="F26" s="46">
        <v>0</v>
      </c>
      <c r="G26" s="46">
        <v>0</v>
      </c>
      <c r="H26" s="46">
        <v>0</v>
      </c>
      <c r="I26" s="46">
        <v>1</v>
      </c>
      <c r="J26" s="46">
        <v>2</v>
      </c>
      <c r="K26" s="46">
        <v>2</v>
      </c>
    </row>
    <row r="27" spans="1:11">
      <c r="A27" s="46">
        <v>15900</v>
      </c>
      <c r="B27" s="46" t="s">
        <v>491</v>
      </c>
      <c r="C27" s="46">
        <v>0</v>
      </c>
      <c r="D27" s="46">
        <v>0</v>
      </c>
      <c r="E27" s="46">
        <v>0</v>
      </c>
      <c r="F27" s="46">
        <v>0</v>
      </c>
      <c r="G27" s="46">
        <v>0</v>
      </c>
      <c r="H27" s="46">
        <v>0</v>
      </c>
      <c r="I27" s="46">
        <v>0</v>
      </c>
      <c r="J27" s="46">
        <v>0</v>
      </c>
      <c r="K27" s="46">
        <v>1</v>
      </c>
    </row>
  </sheetData>
  <phoneticPr fontId="3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J88"/>
  <sheetViews>
    <sheetView topLeftCell="A39" workbookViewId="0">
      <selection activeCell="H2" sqref="H2:H40"/>
    </sheetView>
  </sheetViews>
  <sheetFormatPr defaultRowHeight="16.5"/>
  <cols>
    <col min="1" max="1" width="6.5" style="49" bestFit="1" customWidth="1"/>
    <col min="2" max="2" width="12.5" style="49" bestFit="1" customWidth="1"/>
    <col min="3" max="3" width="23.125" style="49" bestFit="1" customWidth="1"/>
    <col min="4" max="4" width="5.375" style="49" bestFit="1" customWidth="1"/>
    <col min="5" max="5" width="5.5" style="50" bestFit="1" customWidth="1"/>
    <col min="6" max="6" width="5.125" style="49" bestFit="1" customWidth="1"/>
    <col min="7" max="7" width="17.375" style="49" bestFit="1" customWidth="1"/>
    <col min="8" max="8" width="14.375" style="49" bestFit="1" customWidth="1"/>
    <col min="9" max="9" width="22" style="49" bestFit="1" customWidth="1"/>
    <col min="10" max="10" width="23" style="49" bestFit="1" customWidth="1"/>
    <col min="11" max="11" width="13.5" style="49" bestFit="1" customWidth="1"/>
    <col min="12" max="12" width="20.5" style="49" customWidth="1"/>
    <col min="13" max="13" width="18.875" style="49" bestFit="1" customWidth="1"/>
    <col min="14" max="14" width="17.75" style="49" bestFit="1" customWidth="1"/>
    <col min="15" max="15" width="17.625" style="49" bestFit="1" customWidth="1"/>
    <col min="16" max="16" width="18.5" style="49" bestFit="1" customWidth="1"/>
    <col min="17" max="17" width="9.625" style="49" bestFit="1" customWidth="1"/>
    <col min="18" max="18" width="13.375" style="49" bestFit="1" customWidth="1"/>
    <col min="19" max="19" width="18.125" style="49" bestFit="1" customWidth="1"/>
    <col min="20" max="20" width="12.25" style="49" bestFit="1" customWidth="1"/>
    <col min="21" max="21" width="11.375" style="49" bestFit="1" customWidth="1"/>
    <col min="22" max="22" width="11.875" style="49" bestFit="1" customWidth="1"/>
    <col min="23" max="23" width="31.25" style="49" bestFit="1" customWidth="1"/>
    <col min="24" max="24" width="32.75" style="49" bestFit="1" customWidth="1"/>
    <col min="25" max="26" width="12.5" style="49" bestFit="1" customWidth="1"/>
    <col min="27" max="27" width="13.5" style="49" bestFit="1" customWidth="1"/>
    <col min="28" max="28" width="6.5" style="49" bestFit="1" customWidth="1"/>
    <col min="29" max="30" width="11.125" style="49" bestFit="1" customWidth="1"/>
    <col min="31" max="31" width="23" style="49" bestFit="1" customWidth="1"/>
    <col min="32" max="32" width="19.25" style="49" bestFit="1" customWidth="1"/>
    <col min="33" max="33" width="24" style="49" bestFit="1" customWidth="1"/>
    <col min="34" max="34" width="8.25" style="49" bestFit="1" customWidth="1"/>
    <col min="35" max="35" width="18.375" style="49" bestFit="1" customWidth="1"/>
    <col min="36" max="36" width="18.125" style="49" bestFit="1" customWidth="1"/>
    <col min="37" max="16384" width="9" style="49"/>
  </cols>
  <sheetData>
    <row r="1" spans="1:36">
      <c r="A1" s="56" t="s">
        <v>492</v>
      </c>
      <c r="B1" s="56" t="s">
        <v>464</v>
      </c>
      <c r="C1" s="77" t="s">
        <v>1162</v>
      </c>
      <c r="D1" s="56" t="s">
        <v>493</v>
      </c>
      <c r="E1" s="57" t="s">
        <v>494</v>
      </c>
      <c r="F1" s="56" t="s">
        <v>495</v>
      </c>
      <c r="G1" s="56" t="s">
        <v>496</v>
      </c>
      <c r="H1" s="56" t="s">
        <v>497</v>
      </c>
      <c r="I1" s="56" t="s">
        <v>498</v>
      </c>
      <c r="J1" s="56" t="s">
        <v>499</v>
      </c>
      <c r="K1" s="56" t="s">
        <v>174</v>
      </c>
      <c r="L1" s="56" t="s">
        <v>500</v>
      </c>
      <c r="M1" s="56" t="s">
        <v>501</v>
      </c>
      <c r="N1" s="56" t="s">
        <v>502</v>
      </c>
      <c r="O1" s="56" t="s">
        <v>503</v>
      </c>
      <c r="P1" s="52" t="s">
        <v>504</v>
      </c>
      <c r="Q1" s="52" t="s">
        <v>505</v>
      </c>
      <c r="R1" s="52" t="s">
        <v>506</v>
      </c>
      <c r="S1" s="52" t="s">
        <v>507</v>
      </c>
      <c r="T1" s="52" t="s">
        <v>508</v>
      </c>
      <c r="U1" s="52" t="s">
        <v>509</v>
      </c>
      <c r="V1" s="52" t="s">
        <v>510</v>
      </c>
      <c r="W1" s="52" t="s">
        <v>123</v>
      </c>
      <c r="X1" s="52" t="s">
        <v>511</v>
      </c>
      <c r="Y1" s="52" t="s">
        <v>512</v>
      </c>
      <c r="Z1" s="52" t="s">
        <v>513</v>
      </c>
      <c r="AA1" s="52" t="s">
        <v>514</v>
      </c>
      <c r="AB1" s="52" t="s">
        <v>515</v>
      </c>
      <c r="AC1" s="52" t="s">
        <v>516</v>
      </c>
      <c r="AD1" s="52" t="s">
        <v>517</v>
      </c>
      <c r="AE1" s="52" t="s">
        <v>518</v>
      </c>
      <c r="AF1" s="52" t="s">
        <v>519</v>
      </c>
      <c r="AG1" s="52" t="s">
        <v>520</v>
      </c>
      <c r="AH1" s="52" t="s">
        <v>297</v>
      </c>
      <c r="AI1" s="78" t="s">
        <v>1205</v>
      </c>
      <c r="AJ1" s="52" t="s">
        <v>521</v>
      </c>
    </row>
    <row r="2" spans="1:36">
      <c r="A2" s="58">
        <v>9999</v>
      </c>
      <c r="B2" s="58">
        <v>9999</v>
      </c>
      <c r="C2" s="58" t="s">
        <v>475</v>
      </c>
      <c r="D2" s="58">
        <v>1</v>
      </c>
      <c r="E2" s="59">
        <v>70</v>
      </c>
      <c r="F2" s="58">
        <v>2</v>
      </c>
      <c r="G2" s="58" t="s">
        <v>522</v>
      </c>
      <c r="H2" s="58" t="s">
        <v>523</v>
      </c>
      <c r="I2" s="58">
        <v>0</v>
      </c>
      <c r="J2" s="58">
        <v>0</v>
      </c>
      <c r="K2" s="58">
        <v>0</v>
      </c>
      <c r="L2" s="58">
        <v>0</v>
      </c>
      <c r="M2" s="58">
        <v>0</v>
      </c>
      <c r="N2" s="58">
        <v>0</v>
      </c>
      <c r="O2" s="58">
        <v>0</v>
      </c>
      <c r="P2" s="49">
        <v>0</v>
      </c>
      <c r="Q2" s="49">
        <v>0</v>
      </c>
      <c r="R2" s="49">
        <v>0</v>
      </c>
      <c r="S2" s="49">
        <v>0</v>
      </c>
      <c r="T2" s="49">
        <v>0</v>
      </c>
      <c r="U2" s="49">
        <v>0</v>
      </c>
      <c r="V2" s="49">
        <v>1</v>
      </c>
      <c r="W2" s="49" t="s">
        <v>524</v>
      </c>
      <c r="X2" s="49" t="s">
        <v>525</v>
      </c>
      <c r="Y2" s="49">
        <v>60042</v>
      </c>
      <c r="Z2" s="49">
        <v>0</v>
      </c>
      <c r="AA2" s="49">
        <v>0</v>
      </c>
      <c r="AB2" s="49">
        <v>0</v>
      </c>
      <c r="AC2" s="49">
        <v>0</v>
      </c>
      <c r="AD2" s="49">
        <v>0</v>
      </c>
      <c r="AE2" s="49">
        <v>1</v>
      </c>
      <c r="AF2" s="49">
        <v>0</v>
      </c>
      <c r="AG2" s="49">
        <v>0</v>
      </c>
      <c r="AH2" s="49">
        <v>9999</v>
      </c>
      <c r="AI2" s="49" t="s">
        <v>526</v>
      </c>
      <c r="AJ2" s="49" t="s">
        <v>267</v>
      </c>
    </row>
    <row r="3" spans="1:36">
      <c r="A3" s="58">
        <v>10001</v>
      </c>
      <c r="B3" s="58">
        <v>10000</v>
      </c>
      <c r="C3" s="58" t="s">
        <v>527</v>
      </c>
      <c r="D3" s="58">
        <v>1</v>
      </c>
      <c r="E3" s="59">
        <v>380</v>
      </c>
      <c r="F3" s="58">
        <v>5</v>
      </c>
      <c r="G3" s="58" t="s">
        <v>476</v>
      </c>
      <c r="H3" s="58" t="s">
        <v>528</v>
      </c>
      <c r="I3" s="58">
        <v>1</v>
      </c>
      <c r="J3" s="58">
        <v>1000</v>
      </c>
      <c r="K3" s="59">
        <v>1</v>
      </c>
      <c r="L3" s="58">
        <v>1</v>
      </c>
      <c r="M3" s="58">
        <v>0</v>
      </c>
      <c r="N3" s="58">
        <v>1000</v>
      </c>
      <c r="O3" s="58">
        <v>1000</v>
      </c>
      <c r="P3" s="49">
        <v>0</v>
      </c>
      <c r="Q3" s="49">
        <v>0</v>
      </c>
      <c r="R3" s="49">
        <v>0</v>
      </c>
      <c r="S3" s="49">
        <v>0</v>
      </c>
      <c r="T3" s="49">
        <v>0</v>
      </c>
      <c r="U3" s="49">
        <v>8</v>
      </c>
      <c r="V3" s="49">
        <v>1</v>
      </c>
      <c r="W3" s="49" t="s">
        <v>529</v>
      </c>
      <c r="X3" s="49" t="s">
        <v>530</v>
      </c>
      <c r="Y3" s="49">
        <v>60043</v>
      </c>
      <c r="Z3" s="49">
        <v>60097</v>
      </c>
      <c r="AA3" s="49">
        <v>0</v>
      </c>
      <c r="AB3" s="49">
        <v>0</v>
      </c>
      <c r="AC3" s="49">
        <v>0</v>
      </c>
      <c r="AD3" s="49">
        <v>0</v>
      </c>
      <c r="AE3" s="49">
        <v>1</v>
      </c>
      <c r="AF3" s="49">
        <v>0</v>
      </c>
      <c r="AG3" s="49">
        <v>0</v>
      </c>
      <c r="AH3" s="49">
        <v>10001</v>
      </c>
      <c r="AI3" s="49" t="s">
        <v>526</v>
      </c>
      <c r="AJ3" s="49" t="s">
        <v>267</v>
      </c>
    </row>
    <row r="4" spans="1:36">
      <c r="A4" s="58">
        <v>10002</v>
      </c>
      <c r="B4" s="58">
        <v>10000</v>
      </c>
      <c r="C4" s="58" t="s">
        <v>527</v>
      </c>
      <c r="D4" s="58">
        <v>2</v>
      </c>
      <c r="E4" s="59">
        <v>750</v>
      </c>
      <c r="F4" s="58">
        <v>5</v>
      </c>
      <c r="G4" s="58" t="s">
        <v>476</v>
      </c>
      <c r="H4" s="58" t="s">
        <v>528</v>
      </c>
      <c r="I4" s="58">
        <v>1</v>
      </c>
      <c r="J4" s="58">
        <v>10000</v>
      </c>
      <c r="K4" s="59">
        <v>20</v>
      </c>
      <c r="L4" s="58">
        <v>2</v>
      </c>
      <c r="M4" s="58">
        <v>2</v>
      </c>
      <c r="N4" s="58">
        <v>3000</v>
      </c>
      <c r="O4" s="58">
        <v>3000</v>
      </c>
      <c r="P4" s="49">
        <v>0</v>
      </c>
      <c r="Q4" s="49">
        <v>0</v>
      </c>
      <c r="R4" s="49">
        <v>0</v>
      </c>
      <c r="S4" s="49">
        <v>0</v>
      </c>
      <c r="T4" s="49">
        <v>0</v>
      </c>
      <c r="U4" s="49">
        <v>8</v>
      </c>
      <c r="V4" s="49">
        <v>1</v>
      </c>
      <c r="W4" s="49" t="s">
        <v>529</v>
      </c>
      <c r="X4" s="49" t="s">
        <v>530</v>
      </c>
      <c r="Y4" s="49">
        <v>60043</v>
      </c>
      <c r="Z4" s="49">
        <v>60097</v>
      </c>
      <c r="AA4" s="49">
        <v>0</v>
      </c>
      <c r="AB4" s="49">
        <v>0</v>
      </c>
      <c r="AC4" s="49">
        <v>0</v>
      </c>
      <c r="AD4" s="49">
        <v>0</v>
      </c>
      <c r="AE4" s="49">
        <v>2</v>
      </c>
      <c r="AF4" s="49">
        <v>0</v>
      </c>
      <c r="AG4" s="49">
        <v>0</v>
      </c>
      <c r="AH4" s="49">
        <v>10001</v>
      </c>
      <c r="AI4" s="49" t="s">
        <v>526</v>
      </c>
      <c r="AJ4" s="49" t="s">
        <v>267</v>
      </c>
    </row>
    <row r="5" spans="1:36">
      <c r="A5" s="58">
        <v>10003</v>
      </c>
      <c r="B5" s="58">
        <v>10000</v>
      </c>
      <c r="C5" s="58" t="s">
        <v>527</v>
      </c>
      <c r="D5" s="58">
        <v>3</v>
      </c>
      <c r="E5" s="59">
        <v>1200</v>
      </c>
      <c r="F5" s="58">
        <v>5</v>
      </c>
      <c r="G5" s="58" t="s">
        <v>476</v>
      </c>
      <c r="H5" s="58" t="s">
        <v>528</v>
      </c>
      <c r="I5" s="58">
        <v>1</v>
      </c>
      <c r="J5" s="58">
        <v>18000</v>
      </c>
      <c r="K5" s="59">
        <v>120</v>
      </c>
      <c r="L5" s="58">
        <v>3</v>
      </c>
      <c r="M5" s="58">
        <v>3</v>
      </c>
      <c r="N5" s="58">
        <v>5000</v>
      </c>
      <c r="O5" s="58">
        <v>5000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8</v>
      </c>
      <c r="V5" s="49">
        <v>1</v>
      </c>
      <c r="W5" s="49" t="s">
        <v>529</v>
      </c>
      <c r="X5" s="49" t="s">
        <v>530</v>
      </c>
      <c r="Y5" s="49">
        <v>60043</v>
      </c>
      <c r="Z5" s="49">
        <v>60097</v>
      </c>
      <c r="AA5" s="49">
        <v>0</v>
      </c>
      <c r="AB5" s="49">
        <v>0</v>
      </c>
      <c r="AC5" s="49">
        <v>0</v>
      </c>
      <c r="AD5" s="49">
        <v>0</v>
      </c>
      <c r="AE5" s="49">
        <v>3</v>
      </c>
      <c r="AF5" s="49">
        <v>0</v>
      </c>
      <c r="AG5" s="49">
        <v>0</v>
      </c>
      <c r="AH5" s="49">
        <v>10001</v>
      </c>
      <c r="AI5" s="49" t="s">
        <v>526</v>
      </c>
      <c r="AJ5" s="49" t="s">
        <v>267</v>
      </c>
    </row>
    <row r="6" spans="1:36">
      <c r="A6" s="58">
        <v>10004</v>
      </c>
      <c r="B6" s="58">
        <v>10000</v>
      </c>
      <c r="C6" s="58" t="s">
        <v>527</v>
      </c>
      <c r="D6" s="58">
        <v>4</v>
      </c>
      <c r="E6" s="59">
        <v>1800</v>
      </c>
      <c r="F6" s="58">
        <v>5</v>
      </c>
      <c r="G6" s="58" t="s">
        <v>476</v>
      </c>
      <c r="H6" s="58" t="s">
        <v>528</v>
      </c>
      <c r="I6" s="58">
        <v>1</v>
      </c>
      <c r="J6" s="58">
        <v>34000</v>
      </c>
      <c r="K6" s="59">
        <v>300</v>
      </c>
      <c r="L6" s="58">
        <v>4</v>
      </c>
      <c r="M6" s="58">
        <v>4</v>
      </c>
      <c r="N6" s="58">
        <v>9000</v>
      </c>
      <c r="O6" s="58">
        <v>9000</v>
      </c>
      <c r="P6" s="49">
        <v>0</v>
      </c>
      <c r="Q6" s="49">
        <v>0</v>
      </c>
      <c r="R6" s="49">
        <v>0</v>
      </c>
      <c r="S6" s="49">
        <v>0</v>
      </c>
      <c r="T6" s="49">
        <v>0</v>
      </c>
      <c r="U6" s="49">
        <v>8</v>
      </c>
      <c r="V6" s="49">
        <v>1</v>
      </c>
      <c r="W6" s="49" t="s">
        <v>529</v>
      </c>
      <c r="X6" s="49" t="s">
        <v>530</v>
      </c>
      <c r="Y6" s="49">
        <v>60043</v>
      </c>
      <c r="Z6" s="49">
        <v>60097</v>
      </c>
      <c r="AA6" s="49">
        <v>0</v>
      </c>
      <c r="AB6" s="49">
        <v>0</v>
      </c>
      <c r="AC6" s="49">
        <v>0</v>
      </c>
      <c r="AD6" s="49">
        <v>0</v>
      </c>
      <c r="AE6" s="49">
        <v>4</v>
      </c>
      <c r="AF6" s="49">
        <v>0</v>
      </c>
      <c r="AG6" s="49">
        <v>0</v>
      </c>
      <c r="AH6" s="49">
        <v>10001</v>
      </c>
      <c r="AI6" s="49" t="s">
        <v>526</v>
      </c>
      <c r="AJ6" s="49" t="s">
        <v>267</v>
      </c>
    </row>
    <row r="7" spans="1:36">
      <c r="A7" s="58">
        <v>10005</v>
      </c>
      <c r="B7" s="58">
        <v>10000</v>
      </c>
      <c r="C7" s="58" t="s">
        <v>527</v>
      </c>
      <c r="D7" s="58">
        <v>5</v>
      </c>
      <c r="E7" s="59">
        <v>2400</v>
      </c>
      <c r="F7" s="58">
        <v>5</v>
      </c>
      <c r="G7" s="58" t="s">
        <v>476</v>
      </c>
      <c r="H7" s="58" t="s">
        <v>528</v>
      </c>
      <c r="I7" s="58">
        <v>1</v>
      </c>
      <c r="J7" s="58">
        <v>67000</v>
      </c>
      <c r="K7" s="59">
        <v>600</v>
      </c>
      <c r="L7" s="58">
        <v>5</v>
      </c>
      <c r="M7" s="58">
        <v>5</v>
      </c>
      <c r="N7" s="58">
        <v>15000</v>
      </c>
      <c r="O7" s="58">
        <v>15000</v>
      </c>
      <c r="P7" s="49">
        <v>0</v>
      </c>
      <c r="Q7" s="49">
        <v>0</v>
      </c>
      <c r="R7" s="49">
        <v>0</v>
      </c>
      <c r="S7" s="49">
        <v>0</v>
      </c>
      <c r="T7" s="49">
        <v>0</v>
      </c>
      <c r="U7" s="49">
        <v>8</v>
      </c>
      <c r="V7" s="49">
        <v>1</v>
      </c>
      <c r="W7" s="49" t="s">
        <v>529</v>
      </c>
      <c r="X7" s="49" t="s">
        <v>530</v>
      </c>
      <c r="Y7" s="49">
        <v>60043</v>
      </c>
      <c r="Z7" s="49">
        <v>60097</v>
      </c>
      <c r="AA7" s="49">
        <v>0</v>
      </c>
      <c r="AB7" s="49">
        <v>0</v>
      </c>
      <c r="AC7" s="49">
        <v>0</v>
      </c>
      <c r="AD7" s="49">
        <v>0</v>
      </c>
      <c r="AE7" s="49">
        <v>5</v>
      </c>
      <c r="AF7" s="49">
        <v>5</v>
      </c>
      <c r="AG7" s="49">
        <v>0</v>
      </c>
      <c r="AH7" s="49">
        <v>10001</v>
      </c>
      <c r="AI7" s="49" t="s">
        <v>526</v>
      </c>
      <c r="AJ7" s="49" t="s">
        <v>267</v>
      </c>
    </row>
    <row r="8" spans="1:36">
      <c r="A8" s="58">
        <v>10006</v>
      </c>
      <c r="B8" s="58">
        <v>10000</v>
      </c>
      <c r="C8" s="58" t="s">
        <v>527</v>
      </c>
      <c r="D8" s="58">
        <v>6</v>
      </c>
      <c r="E8" s="59">
        <v>3100</v>
      </c>
      <c r="F8" s="58">
        <v>5</v>
      </c>
      <c r="G8" s="58" t="s">
        <v>476</v>
      </c>
      <c r="H8" s="58" t="s">
        <v>528</v>
      </c>
      <c r="I8" s="58">
        <v>1</v>
      </c>
      <c r="J8" s="58">
        <v>120000</v>
      </c>
      <c r="K8" s="59">
        <v>1440</v>
      </c>
      <c r="L8" s="58">
        <v>6</v>
      </c>
      <c r="M8" s="58">
        <v>6</v>
      </c>
      <c r="N8" s="58">
        <v>30000</v>
      </c>
      <c r="O8" s="58">
        <v>30000</v>
      </c>
      <c r="P8" s="49">
        <v>1000</v>
      </c>
      <c r="Q8" s="49">
        <v>0</v>
      </c>
      <c r="R8" s="49">
        <v>0</v>
      </c>
      <c r="S8" s="49">
        <v>0</v>
      </c>
      <c r="T8" s="49">
        <v>0</v>
      </c>
      <c r="U8" s="49">
        <v>8</v>
      </c>
      <c r="V8" s="49">
        <v>1</v>
      </c>
      <c r="W8" s="49" t="s">
        <v>529</v>
      </c>
      <c r="X8" s="49" t="s">
        <v>530</v>
      </c>
      <c r="Y8" s="49">
        <v>60043</v>
      </c>
      <c r="Z8" s="49">
        <v>60097</v>
      </c>
      <c r="AA8" s="49">
        <v>0</v>
      </c>
      <c r="AB8" s="49">
        <v>0</v>
      </c>
      <c r="AC8" s="49">
        <v>0</v>
      </c>
      <c r="AD8" s="49">
        <v>0</v>
      </c>
      <c r="AE8" s="49">
        <v>6</v>
      </c>
      <c r="AF8" s="49">
        <v>6</v>
      </c>
      <c r="AG8" s="49">
        <v>0</v>
      </c>
      <c r="AH8" s="49">
        <v>10001</v>
      </c>
      <c r="AI8" s="49" t="s">
        <v>526</v>
      </c>
      <c r="AJ8" s="49" t="s">
        <v>267</v>
      </c>
    </row>
    <row r="9" spans="1:36">
      <c r="A9" s="58">
        <v>10007</v>
      </c>
      <c r="B9" s="58">
        <v>10000</v>
      </c>
      <c r="C9" s="58" t="s">
        <v>527</v>
      </c>
      <c r="D9" s="58">
        <v>7</v>
      </c>
      <c r="E9" s="59">
        <v>3800</v>
      </c>
      <c r="F9" s="58">
        <v>5</v>
      </c>
      <c r="G9" s="58" t="s">
        <v>476</v>
      </c>
      <c r="H9" s="58" t="s">
        <v>528</v>
      </c>
      <c r="I9" s="58">
        <v>1</v>
      </c>
      <c r="J9" s="58">
        <v>190000</v>
      </c>
      <c r="K9" s="59">
        <v>4320</v>
      </c>
      <c r="L9" s="58">
        <v>7</v>
      </c>
      <c r="M9" s="58">
        <v>7</v>
      </c>
      <c r="N9" s="58">
        <v>50000</v>
      </c>
      <c r="O9" s="58">
        <v>50000</v>
      </c>
      <c r="P9" s="49">
        <v>3000</v>
      </c>
      <c r="Q9" s="49">
        <v>0</v>
      </c>
      <c r="R9" s="49">
        <v>0</v>
      </c>
      <c r="S9" s="49">
        <v>0</v>
      </c>
      <c r="T9" s="49">
        <v>0</v>
      </c>
      <c r="U9" s="49">
        <v>8</v>
      </c>
      <c r="V9" s="49">
        <v>1</v>
      </c>
      <c r="W9" s="49" t="s">
        <v>529</v>
      </c>
      <c r="X9" s="49" t="s">
        <v>530</v>
      </c>
      <c r="Y9" s="49">
        <v>60043</v>
      </c>
      <c r="Z9" s="49">
        <v>60097</v>
      </c>
      <c r="AA9" s="49">
        <v>0</v>
      </c>
      <c r="AB9" s="49">
        <v>0</v>
      </c>
      <c r="AC9" s="49">
        <v>0</v>
      </c>
      <c r="AD9" s="49">
        <v>0</v>
      </c>
      <c r="AE9" s="49">
        <v>7</v>
      </c>
      <c r="AF9" s="49">
        <v>7</v>
      </c>
      <c r="AG9" s="49">
        <v>0</v>
      </c>
      <c r="AH9" s="49">
        <v>10001</v>
      </c>
      <c r="AI9" s="49" t="s">
        <v>526</v>
      </c>
      <c r="AJ9" s="49" t="s">
        <v>267</v>
      </c>
    </row>
    <row r="10" spans="1:36">
      <c r="A10" s="58">
        <v>10008</v>
      </c>
      <c r="B10" s="58">
        <v>10000</v>
      </c>
      <c r="C10" s="58" t="s">
        <v>527</v>
      </c>
      <c r="D10" s="58">
        <v>8</v>
      </c>
      <c r="E10" s="59">
        <v>4500</v>
      </c>
      <c r="F10" s="58">
        <v>5</v>
      </c>
      <c r="G10" s="58" t="s">
        <v>476</v>
      </c>
      <c r="H10" s="58" t="s">
        <v>528</v>
      </c>
      <c r="I10" s="58">
        <v>1</v>
      </c>
      <c r="J10" s="58">
        <v>230000</v>
      </c>
      <c r="K10" s="59">
        <v>8640</v>
      </c>
      <c r="L10" s="58">
        <v>8</v>
      </c>
      <c r="M10" s="58">
        <v>8</v>
      </c>
      <c r="N10" s="58">
        <v>80000</v>
      </c>
      <c r="O10" s="58">
        <v>80000</v>
      </c>
      <c r="P10" s="49">
        <v>7000</v>
      </c>
      <c r="Q10" s="49">
        <v>0</v>
      </c>
      <c r="R10" s="49">
        <v>0</v>
      </c>
      <c r="S10" s="49">
        <v>0</v>
      </c>
      <c r="T10" s="49">
        <v>0</v>
      </c>
      <c r="U10" s="49">
        <v>8</v>
      </c>
      <c r="V10" s="49">
        <v>1</v>
      </c>
      <c r="W10" s="49" t="s">
        <v>529</v>
      </c>
      <c r="X10" s="49" t="s">
        <v>530</v>
      </c>
      <c r="Y10" s="49">
        <v>60043</v>
      </c>
      <c r="Z10" s="49">
        <v>60097</v>
      </c>
      <c r="AA10" s="49">
        <v>0</v>
      </c>
      <c r="AB10" s="49">
        <v>0</v>
      </c>
      <c r="AC10" s="49">
        <v>0</v>
      </c>
      <c r="AD10" s="49">
        <v>0</v>
      </c>
      <c r="AE10" s="49">
        <v>8</v>
      </c>
      <c r="AF10" s="49">
        <v>8</v>
      </c>
      <c r="AG10" s="49">
        <v>0</v>
      </c>
      <c r="AH10" s="49">
        <v>10001</v>
      </c>
      <c r="AI10" s="49" t="s">
        <v>526</v>
      </c>
      <c r="AJ10" s="49" t="s">
        <v>267</v>
      </c>
    </row>
    <row r="11" spans="1:36">
      <c r="A11" s="58">
        <v>10009</v>
      </c>
      <c r="B11" s="58">
        <v>10000</v>
      </c>
      <c r="C11" s="58" t="s">
        <v>527</v>
      </c>
      <c r="D11" s="58">
        <v>9</v>
      </c>
      <c r="E11" s="59">
        <v>5200</v>
      </c>
      <c r="F11" s="58">
        <v>5</v>
      </c>
      <c r="G11" s="58" t="s">
        <v>476</v>
      </c>
      <c r="H11" s="58" t="s">
        <v>528</v>
      </c>
      <c r="I11" s="58">
        <v>1</v>
      </c>
      <c r="J11" s="58">
        <v>0</v>
      </c>
      <c r="K11" s="58">
        <v>0</v>
      </c>
      <c r="L11" s="58">
        <v>9</v>
      </c>
      <c r="M11" s="58">
        <v>9</v>
      </c>
      <c r="N11" s="58">
        <v>120000</v>
      </c>
      <c r="O11" s="58">
        <v>120000</v>
      </c>
      <c r="P11" s="49">
        <v>10000</v>
      </c>
      <c r="Q11" s="49">
        <v>0</v>
      </c>
      <c r="R11" s="49">
        <v>0</v>
      </c>
      <c r="S11" s="49">
        <v>0</v>
      </c>
      <c r="T11" s="49">
        <v>0</v>
      </c>
      <c r="U11" s="49">
        <v>8</v>
      </c>
      <c r="V11" s="49">
        <v>1</v>
      </c>
      <c r="W11" s="49" t="s">
        <v>529</v>
      </c>
      <c r="X11" s="49" t="s">
        <v>530</v>
      </c>
      <c r="Y11" s="49">
        <v>60043</v>
      </c>
      <c r="Z11" s="49">
        <v>60097</v>
      </c>
      <c r="AA11" s="49">
        <v>0</v>
      </c>
      <c r="AB11" s="49">
        <v>0</v>
      </c>
      <c r="AC11" s="49">
        <v>0</v>
      </c>
      <c r="AD11" s="49">
        <v>0</v>
      </c>
      <c r="AE11" s="49">
        <v>9</v>
      </c>
      <c r="AF11" s="49">
        <v>9</v>
      </c>
      <c r="AG11" s="49">
        <v>0</v>
      </c>
      <c r="AH11" s="49">
        <v>10001</v>
      </c>
      <c r="AI11" s="49" t="s">
        <v>526</v>
      </c>
      <c r="AJ11" s="49" t="s">
        <v>267</v>
      </c>
    </row>
    <row r="12" spans="1:36">
      <c r="A12" s="58">
        <v>10101</v>
      </c>
      <c r="B12" s="58">
        <v>10100</v>
      </c>
      <c r="C12" s="58" t="s">
        <v>477</v>
      </c>
      <c r="D12" s="58">
        <v>1</v>
      </c>
      <c r="E12" s="59">
        <v>80</v>
      </c>
      <c r="F12" s="58">
        <v>3</v>
      </c>
      <c r="G12" s="58" t="s">
        <v>477</v>
      </c>
      <c r="H12" s="58" t="s">
        <v>523</v>
      </c>
      <c r="I12" s="58">
        <v>2</v>
      </c>
      <c r="J12" s="58">
        <v>300</v>
      </c>
      <c r="K12" s="58">
        <v>10</v>
      </c>
      <c r="L12" s="58">
        <v>0</v>
      </c>
      <c r="M12" s="58">
        <v>1</v>
      </c>
      <c r="N12" s="58">
        <v>0</v>
      </c>
      <c r="O12" s="58">
        <v>0</v>
      </c>
      <c r="P12" s="49">
        <v>0</v>
      </c>
      <c r="Q12" s="49">
        <v>0</v>
      </c>
      <c r="R12" s="49">
        <v>0</v>
      </c>
      <c r="S12" s="49">
        <v>0</v>
      </c>
      <c r="T12" s="49">
        <v>0</v>
      </c>
      <c r="U12" s="49">
        <v>0</v>
      </c>
      <c r="V12" s="49">
        <v>1</v>
      </c>
      <c r="W12" s="49" t="s">
        <v>531</v>
      </c>
      <c r="X12" s="49" t="s">
        <v>532</v>
      </c>
      <c r="Y12" s="49">
        <v>60044</v>
      </c>
      <c r="Z12" s="49">
        <v>0</v>
      </c>
      <c r="AA12" s="49">
        <v>0</v>
      </c>
      <c r="AB12" s="49">
        <v>0</v>
      </c>
      <c r="AC12" s="49">
        <v>0</v>
      </c>
      <c r="AD12" s="49">
        <v>0</v>
      </c>
      <c r="AE12" s="49">
        <v>1</v>
      </c>
      <c r="AF12" s="49">
        <v>0</v>
      </c>
      <c r="AG12" s="49">
        <v>0</v>
      </c>
      <c r="AH12" s="49">
        <v>10101</v>
      </c>
      <c r="AI12" s="49" t="s">
        <v>526</v>
      </c>
      <c r="AJ12" s="49" t="s">
        <v>267</v>
      </c>
    </row>
    <row r="13" spans="1:36">
      <c r="A13" s="58">
        <v>10102</v>
      </c>
      <c r="B13" s="58">
        <v>10100</v>
      </c>
      <c r="C13" s="58" t="s">
        <v>477</v>
      </c>
      <c r="D13" s="58">
        <v>2</v>
      </c>
      <c r="E13" s="59">
        <v>90</v>
      </c>
      <c r="F13" s="58">
        <v>3</v>
      </c>
      <c r="G13" s="58" t="s">
        <v>477</v>
      </c>
      <c r="H13" s="58" t="s">
        <v>523</v>
      </c>
      <c r="I13" s="58">
        <v>2</v>
      </c>
      <c r="J13" s="58">
        <v>1200</v>
      </c>
      <c r="K13" s="58">
        <v>60</v>
      </c>
      <c r="L13" s="58">
        <v>0</v>
      </c>
      <c r="M13" s="58">
        <v>2</v>
      </c>
      <c r="N13" s="58">
        <v>0</v>
      </c>
      <c r="O13" s="58">
        <v>0</v>
      </c>
      <c r="P13" s="49">
        <v>0</v>
      </c>
      <c r="Q13" s="49">
        <v>0</v>
      </c>
      <c r="R13" s="49">
        <v>0</v>
      </c>
      <c r="S13" s="49">
        <v>0</v>
      </c>
      <c r="T13" s="49">
        <v>0</v>
      </c>
      <c r="U13" s="49">
        <v>0</v>
      </c>
      <c r="V13" s="49">
        <v>1</v>
      </c>
      <c r="W13" s="49" t="s">
        <v>531</v>
      </c>
      <c r="X13" s="49" t="s">
        <v>532</v>
      </c>
      <c r="Y13" s="49">
        <v>60044</v>
      </c>
      <c r="Z13" s="49">
        <v>0</v>
      </c>
      <c r="AA13" s="49">
        <v>0</v>
      </c>
      <c r="AB13" s="49">
        <v>0</v>
      </c>
      <c r="AC13" s="49">
        <v>0</v>
      </c>
      <c r="AD13" s="49">
        <v>0</v>
      </c>
      <c r="AE13" s="49">
        <v>2</v>
      </c>
      <c r="AF13" s="49">
        <v>0</v>
      </c>
      <c r="AG13" s="49">
        <v>0</v>
      </c>
      <c r="AH13" s="49">
        <v>10101</v>
      </c>
      <c r="AI13" s="49" t="s">
        <v>526</v>
      </c>
      <c r="AJ13" s="49" t="s">
        <v>267</v>
      </c>
    </row>
    <row r="14" spans="1:36">
      <c r="A14" s="58">
        <v>10103</v>
      </c>
      <c r="B14" s="58">
        <v>10100</v>
      </c>
      <c r="C14" s="58" t="s">
        <v>477</v>
      </c>
      <c r="D14" s="58">
        <v>3</v>
      </c>
      <c r="E14" s="59">
        <v>110</v>
      </c>
      <c r="F14" s="58">
        <v>3</v>
      </c>
      <c r="G14" s="58" t="s">
        <v>477</v>
      </c>
      <c r="H14" s="58" t="s">
        <v>523</v>
      </c>
      <c r="I14" s="58">
        <v>2</v>
      </c>
      <c r="J14" s="58">
        <v>5000</v>
      </c>
      <c r="K14" s="58">
        <v>360</v>
      </c>
      <c r="L14" s="58">
        <v>0</v>
      </c>
      <c r="M14" s="58">
        <v>3</v>
      </c>
      <c r="N14" s="58">
        <v>0</v>
      </c>
      <c r="O14" s="58">
        <v>0</v>
      </c>
      <c r="P14" s="49">
        <v>0</v>
      </c>
      <c r="Q14" s="49">
        <v>0</v>
      </c>
      <c r="R14" s="49">
        <v>0</v>
      </c>
      <c r="S14" s="49">
        <v>0</v>
      </c>
      <c r="T14" s="49">
        <v>0</v>
      </c>
      <c r="U14" s="49">
        <v>0</v>
      </c>
      <c r="V14" s="49">
        <v>1</v>
      </c>
      <c r="W14" s="49" t="s">
        <v>531</v>
      </c>
      <c r="X14" s="49" t="s">
        <v>532</v>
      </c>
      <c r="Y14" s="49">
        <v>60044</v>
      </c>
      <c r="Z14" s="49">
        <v>0</v>
      </c>
      <c r="AA14" s="49">
        <v>0</v>
      </c>
      <c r="AB14" s="49">
        <v>0</v>
      </c>
      <c r="AC14" s="49">
        <v>0</v>
      </c>
      <c r="AD14" s="49">
        <v>0</v>
      </c>
      <c r="AE14" s="49">
        <v>3</v>
      </c>
      <c r="AF14" s="49">
        <v>0</v>
      </c>
      <c r="AG14" s="49">
        <v>0</v>
      </c>
      <c r="AH14" s="49">
        <v>10101</v>
      </c>
      <c r="AI14" s="49" t="s">
        <v>526</v>
      </c>
      <c r="AJ14" s="49" t="s">
        <v>267</v>
      </c>
    </row>
    <row r="15" spans="1:36">
      <c r="A15" s="58">
        <v>10104</v>
      </c>
      <c r="B15" s="58">
        <v>10100</v>
      </c>
      <c r="C15" s="58" t="s">
        <v>477</v>
      </c>
      <c r="D15" s="58">
        <v>4</v>
      </c>
      <c r="E15" s="59">
        <v>130</v>
      </c>
      <c r="F15" s="58">
        <v>3</v>
      </c>
      <c r="G15" s="58" t="s">
        <v>477</v>
      </c>
      <c r="H15" s="58" t="s">
        <v>523</v>
      </c>
      <c r="I15" s="58">
        <v>2</v>
      </c>
      <c r="J15" s="58">
        <v>20000</v>
      </c>
      <c r="K15" s="58">
        <v>960</v>
      </c>
      <c r="L15" s="58">
        <v>0</v>
      </c>
      <c r="M15" s="58">
        <v>4</v>
      </c>
      <c r="N15" s="58">
        <v>0</v>
      </c>
      <c r="O15" s="58">
        <v>0</v>
      </c>
      <c r="P15" s="49">
        <v>0</v>
      </c>
      <c r="Q15" s="49">
        <v>0</v>
      </c>
      <c r="R15" s="49">
        <v>0</v>
      </c>
      <c r="S15" s="49">
        <v>0</v>
      </c>
      <c r="T15" s="49">
        <v>0</v>
      </c>
      <c r="U15" s="49">
        <v>0</v>
      </c>
      <c r="V15" s="49">
        <v>1</v>
      </c>
      <c r="W15" s="49" t="s">
        <v>531</v>
      </c>
      <c r="X15" s="49" t="s">
        <v>532</v>
      </c>
      <c r="Y15" s="49">
        <v>60044</v>
      </c>
      <c r="Z15" s="49">
        <v>0</v>
      </c>
      <c r="AA15" s="49">
        <v>0</v>
      </c>
      <c r="AB15" s="49">
        <v>0</v>
      </c>
      <c r="AC15" s="49">
        <v>0</v>
      </c>
      <c r="AD15" s="49">
        <v>0</v>
      </c>
      <c r="AE15" s="49">
        <v>4</v>
      </c>
      <c r="AF15" s="49">
        <v>0</v>
      </c>
      <c r="AG15" s="49">
        <v>0</v>
      </c>
      <c r="AH15" s="49">
        <v>10101</v>
      </c>
      <c r="AI15" s="49" t="s">
        <v>526</v>
      </c>
      <c r="AJ15" s="49" t="s">
        <v>267</v>
      </c>
    </row>
    <row r="16" spans="1:36">
      <c r="A16" s="58">
        <v>10105</v>
      </c>
      <c r="B16" s="58">
        <v>10100</v>
      </c>
      <c r="C16" s="58" t="s">
        <v>477</v>
      </c>
      <c r="D16" s="58">
        <v>5</v>
      </c>
      <c r="E16" s="59">
        <v>150</v>
      </c>
      <c r="F16" s="58">
        <v>3</v>
      </c>
      <c r="G16" s="58" t="s">
        <v>477</v>
      </c>
      <c r="H16" s="58" t="s">
        <v>523</v>
      </c>
      <c r="I16" s="58">
        <v>2</v>
      </c>
      <c r="J16" s="58">
        <v>50000</v>
      </c>
      <c r="K16" s="58">
        <v>1440</v>
      </c>
      <c r="L16" s="58">
        <v>0</v>
      </c>
      <c r="M16" s="58">
        <v>6</v>
      </c>
      <c r="N16" s="58">
        <v>0</v>
      </c>
      <c r="O16" s="58">
        <v>0</v>
      </c>
      <c r="P16" s="49">
        <v>0</v>
      </c>
      <c r="Q16" s="49">
        <v>0</v>
      </c>
      <c r="R16" s="49">
        <v>0</v>
      </c>
      <c r="S16" s="49">
        <v>0</v>
      </c>
      <c r="T16" s="49">
        <v>0</v>
      </c>
      <c r="U16" s="49">
        <v>0</v>
      </c>
      <c r="V16" s="49">
        <v>1</v>
      </c>
      <c r="W16" s="49" t="s">
        <v>531</v>
      </c>
      <c r="X16" s="49" t="s">
        <v>532</v>
      </c>
      <c r="Y16" s="49">
        <v>60044</v>
      </c>
      <c r="Z16" s="49">
        <v>0</v>
      </c>
      <c r="AA16" s="49">
        <v>0</v>
      </c>
      <c r="AB16" s="49">
        <v>0</v>
      </c>
      <c r="AC16" s="49">
        <v>0</v>
      </c>
      <c r="AD16" s="49">
        <v>0</v>
      </c>
      <c r="AE16" s="49">
        <v>5</v>
      </c>
      <c r="AF16" s="49">
        <v>0</v>
      </c>
      <c r="AG16" s="49">
        <v>0</v>
      </c>
      <c r="AH16" s="49">
        <v>10101</v>
      </c>
      <c r="AI16" s="49" t="s">
        <v>526</v>
      </c>
      <c r="AJ16" s="49" t="s">
        <v>267</v>
      </c>
    </row>
    <row r="17" spans="1:36">
      <c r="A17" s="58">
        <v>10106</v>
      </c>
      <c r="B17" s="58">
        <v>10100</v>
      </c>
      <c r="C17" s="58" t="s">
        <v>477</v>
      </c>
      <c r="D17" s="58">
        <v>6</v>
      </c>
      <c r="E17" s="59">
        <v>170</v>
      </c>
      <c r="F17" s="58">
        <v>3</v>
      </c>
      <c r="G17" s="58" t="s">
        <v>477</v>
      </c>
      <c r="H17" s="58" t="s">
        <v>523</v>
      </c>
      <c r="I17" s="58">
        <v>2</v>
      </c>
      <c r="J17" s="58">
        <v>100000</v>
      </c>
      <c r="K17" s="58">
        <v>2160</v>
      </c>
      <c r="L17" s="58">
        <v>0</v>
      </c>
      <c r="M17" s="58">
        <v>8</v>
      </c>
      <c r="N17" s="58">
        <v>0</v>
      </c>
      <c r="O17" s="58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1</v>
      </c>
      <c r="W17" s="49" t="s">
        <v>531</v>
      </c>
      <c r="X17" s="49" t="s">
        <v>532</v>
      </c>
      <c r="Y17" s="49">
        <v>60044</v>
      </c>
      <c r="Z17" s="49">
        <v>0</v>
      </c>
      <c r="AA17" s="49">
        <v>0</v>
      </c>
      <c r="AB17" s="49">
        <v>0</v>
      </c>
      <c r="AC17" s="49">
        <v>0</v>
      </c>
      <c r="AD17" s="49">
        <v>0</v>
      </c>
      <c r="AE17" s="49">
        <v>6</v>
      </c>
      <c r="AF17" s="49">
        <v>0</v>
      </c>
      <c r="AG17" s="49">
        <v>0</v>
      </c>
      <c r="AH17" s="49">
        <v>10101</v>
      </c>
      <c r="AI17" s="49" t="s">
        <v>526</v>
      </c>
      <c r="AJ17" s="49" t="s">
        <v>267</v>
      </c>
    </row>
    <row r="18" spans="1:36">
      <c r="A18" s="58">
        <v>10107</v>
      </c>
      <c r="B18" s="58">
        <v>10100</v>
      </c>
      <c r="C18" s="58" t="s">
        <v>477</v>
      </c>
      <c r="D18" s="58">
        <v>7</v>
      </c>
      <c r="E18" s="59">
        <v>190</v>
      </c>
      <c r="F18" s="58">
        <v>3</v>
      </c>
      <c r="G18" s="58" t="s">
        <v>477</v>
      </c>
      <c r="H18" s="58" t="s">
        <v>523</v>
      </c>
      <c r="I18" s="58">
        <v>2</v>
      </c>
      <c r="J18" s="58">
        <v>150000</v>
      </c>
      <c r="K18" s="58">
        <v>2880</v>
      </c>
      <c r="L18" s="58">
        <v>0</v>
      </c>
      <c r="M18" s="58">
        <v>9</v>
      </c>
      <c r="N18" s="58">
        <v>0</v>
      </c>
      <c r="O18" s="58">
        <v>0</v>
      </c>
      <c r="P18" s="49">
        <v>0</v>
      </c>
      <c r="Q18" s="49">
        <v>0</v>
      </c>
      <c r="R18" s="49">
        <v>0</v>
      </c>
      <c r="S18" s="49">
        <v>0</v>
      </c>
      <c r="T18" s="49">
        <v>0</v>
      </c>
      <c r="U18" s="49">
        <v>0</v>
      </c>
      <c r="V18" s="49">
        <v>1</v>
      </c>
      <c r="W18" s="49" t="s">
        <v>531</v>
      </c>
      <c r="X18" s="49" t="s">
        <v>532</v>
      </c>
      <c r="Y18" s="49">
        <v>60044</v>
      </c>
      <c r="Z18" s="49">
        <v>0</v>
      </c>
      <c r="AA18" s="49">
        <v>0</v>
      </c>
      <c r="AB18" s="49">
        <v>0</v>
      </c>
      <c r="AC18" s="49">
        <v>0</v>
      </c>
      <c r="AD18" s="49">
        <v>0</v>
      </c>
      <c r="AE18" s="49">
        <v>7</v>
      </c>
      <c r="AF18" s="49">
        <v>0</v>
      </c>
      <c r="AG18" s="49">
        <v>0</v>
      </c>
      <c r="AH18" s="49">
        <v>10101</v>
      </c>
      <c r="AI18" s="49" t="s">
        <v>526</v>
      </c>
      <c r="AJ18" s="49" t="s">
        <v>267</v>
      </c>
    </row>
    <row r="19" spans="1:36">
      <c r="A19" s="58">
        <v>10108</v>
      </c>
      <c r="B19" s="58">
        <v>10100</v>
      </c>
      <c r="C19" s="58" t="s">
        <v>477</v>
      </c>
      <c r="D19" s="58">
        <v>8</v>
      </c>
      <c r="E19" s="59">
        <v>250</v>
      </c>
      <c r="F19" s="58">
        <v>3</v>
      </c>
      <c r="G19" s="58" t="s">
        <v>477</v>
      </c>
      <c r="H19" s="58" t="s">
        <v>523</v>
      </c>
      <c r="I19" s="58">
        <v>2</v>
      </c>
      <c r="J19" s="58">
        <v>0</v>
      </c>
      <c r="K19" s="58">
        <v>0</v>
      </c>
      <c r="L19" s="58">
        <v>0</v>
      </c>
      <c r="M19" s="58">
        <v>10</v>
      </c>
      <c r="N19" s="58">
        <v>0</v>
      </c>
      <c r="O19" s="58">
        <v>0</v>
      </c>
      <c r="P19" s="49">
        <v>0</v>
      </c>
      <c r="Q19" s="49">
        <v>0</v>
      </c>
      <c r="R19" s="49">
        <v>0</v>
      </c>
      <c r="S19" s="49">
        <v>0</v>
      </c>
      <c r="T19" s="49">
        <v>0</v>
      </c>
      <c r="U19" s="49">
        <v>0</v>
      </c>
      <c r="V19" s="49">
        <v>1</v>
      </c>
      <c r="W19" s="49" t="s">
        <v>531</v>
      </c>
      <c r="X19" s="49" t="s">
        <v>532</v>
      </c>
      <c r="Y19" s="49">
        <v>60044</v>
      </c>
      <c r="Z19" s="49">
        <v>0</v>
      </c>
      <c r="AA19" s="49">
        <v>0</v>
      </c>
      <c r="AB19" s="49">
        <v>0</v>
      </c>
      <c r="AC19" s="49">
        <v>0</v>
      </c>
      <c r="AD19" s="49">
        <v>0</v>
      </c>
      <c r="AE19" s="49">
        <v>8</v>
      </c>
      <c r="AF19" s="49">
        <v>0</v>
      </c>
      <c r="AG19" s="49">
        <v>0</v>
      </c>
      <c r="AH19" s="49">
        <v>10101</v>
      </c>
      <c r="AI19" s="49" t="s">
        <v>526</v>
      </c>
      <c r="AJ19" s="49" t="s">
        <v>267</v>
      </c>
    </row>
    <row r="20" spans="1:36">
      <c r="A20" s="58">
        <v>10201</v>
      </c>
      <c r="B20" s="58">
        <v>10200</v>
      </c>
      <c r="C20" s="58" t="s">
        <v>478</v>
      </c>
      <c r="D20" s="58">
        <v>1</v>
      </c>
      <c r="E20" s="59">
        <v>80</v>
      </c>
      <c r="F20" s="58">
        <v>3</v>
      </c>
      <c r="G20" s="60" t="s">
        <v>533</v>
      </c>
      <c r="H20" s="58" t="s">
        <v>523</v>
      </c>
      <c r="I20" s="58">
        <v>2</v>
      </c>
      <c r="J20" s="58">
        <v>120000</v>
      </c>
      <c r="K20" s="58">
        <v>120</v>
      </c>
      <c r="L20" s="58">
        <v>0</v>
      </c>
      <c r="M20" s="58">
        <v>5</v>
      </c>
      <c r="N20" s="58">
        <v>0</v>
      </c>
      <c r="O20" s="58">
        <v>0</v>
      </c>
      <c r="P20" s="49">
        <v>0</v>
      </c>
      <c r="Q20" s="49">
        <v>0</v>
      </c>
      <c r="R20" s="49">
        <v>0</v>
      </c>
      <c r="S20" s="49">
        <v>0</v>
      </c>
      <c r="T20" s="49">
        <v>2</v>
      </c>
      <c r="U20" s="49">
        <v>0</v>
      </c>
      <c r="V20" s="49">
        <v>1</v>
      </c>
      <c r="W20" s="49" t="s">
        <v>534</v>
      </c>
      <c r="X20" s="49" t="s">
        <v>535</v>
      </c>
      <c r="Y20" s="49">
        <v>60045</v>
      </c>
      <c r="Z20" s="49">
        <v>0</v>
      </c>
      <c r="AA20" s="49">
        <v>0</v>
      </c>
      <c r="AB20" s="49">
        <v>0</v>
      </c>
      <c r="AC20" s="49">
        <v>0</v>
      </c>
      <c r="AD20" s="49">
        <v>0</v>
      </c>
      <c r="AE20" s="49">
        <v>1</v>
      </c>
      <c r="AF20" s="49">
        <v>0</v>
      </c>
      <c r="AG20" s="49">
        <v>0</v>
      </c>
      <c r="AH20" s="49">
        <v>10201</v>
      </c>
      <c r="AI20" s="49" t="s">
        <v>526</v>
      </c>
      <c r="AJ20" s="49" t="s">
        <v>267</v>
      </c>
    </row>
    <row r="21" spans="1:36">
      <c r="A21" s="58">
        <v>10301</v>
      </c>
      <c r="B21" s="58">
        <v>10300</v>
      </c>
      <c r="C21" s="58" t="s">
        <v>479</v>
      </c>
      <c r="D21" s="58">
        <v>1</v>
      </c>
      <c r="E21" s="59">
        <v>100</v>
      </c>
      <c r="F21" s="58">
        <v>3</v>
      </c>
      <c r="G21" s="58" t="s">
        <v>536</v>
      </c>
      <c r="H21" s="58" t="s">
        <v>523</v>
      </c>
      <c r="I21" s="58">
        <v>2</v>
      </c>
      <c r="J21" s="58">
        <v>2000</v>
      </c>
      <c r="K21" s="58">
        <v>30</v>
      </c>
      <c r="L21" s="58">
        <v>0</v>
      </c>
      <c r="M21" s="58">
        <v>2</v>
      </c>
      <c r="N21" s="58">
        <v>0</v>
      </c>
      <c r="O21" s="58">
        <v>0</v>
      </c>
      <c r="P21" s="49">
        <v>0</v>
      </c>
      <c r="Q21" s="49">
        <v>0</v>
      </c>
      <c r="R21" s="49">
        <v>0</v>
      </c>
      <c r="S21" s="49">
        <v>0</v>
      </c>
      <c r="T21" s="49">
        <v>0</v>
      </c>
      <c r="U21" s="49">
        <v>0</v>
      </c>
      <c r="V21" s="49">
        <v>1</v>
      </c>
      <c r="W21" s="49" t="s">
        <v>537</v>
      </c>
      <c r="X21" s="49" t="s">
        <v>538</v>
      </c>
      <c r="Y21" s="49">
        <v>60046</v>
      </c>
      <c r="Z21" s="49">
        <v>0</v>
      </c>
      <c r="AA21" s="49">
        <v>0</v>
      </c>
      <c r="AB21" s="49">
        <v>0</v>
      </c>
      <c r="AC21" s="49">
        <v>0</v>
      </c>
      <c r="AD21" s="49">
        <v>0</v>
      </c>
      <c r="AE21" s="49">
        <v>1</v>
      </c>
      <c r="AF21" s="49">
        <v>0</v>
      </c>
      <c r="AG21" s="49">
        <v>0</v>
      </c>
      <c r="AH21" s="49">
        <v>10301</v>
      </c>
      <c r="AI21" s="49" t="s">
        <v>526</v>
      </c>
      <c r="AJ21" s="49" t="s">
        <v>267</v>
      </c>
    </row>
    <row r="22" spans="1:36">
      <c r="A22" s="58">
        <v>10302</v>
      </c>
      <c r="B22" s="58">
        <v>10300</v>
      </c>
      <c r="C22" s="58" t="s">
        <v>479</v>
      </c>
      <c r="D22" s="58">
        <v>2</v>
      </c>
      <c r="E22" s="59">
        <v>120</v>
      </c>
      <c r="F22" s="58">
        <v>3</v>
      </c>
      <c r="G22" s="58" t="s">
        <v>536</v>
      </c>
      <c r="H22" s="58" t="s">
        <v>523</v>
      </c>
      <c r="I22" s="58">
        <v>2</v>
      </c>
      <c r="J22" s="58">
        <v>4000</v>
      </c>
      <c r="K22" s="58">
        <v>180</v>
      </c>
      <c r="L22" s="58">
        <v>0</v>
      </c>
      <c r="M22" s="58">
        <v>3</v>
      </c>
      <c r="N22" s="58">
        <v>0</v>
      </c>
      <c r="O22" s="58">
        <v>0</v>
      </c>
      <c r="P22" s="49">
        <v>0</v>
      </c>
      <c r="Q22" s="49">
        <v>0</v>
      </c>
      <c r="R22" s="49">
        <v>0</v>
      </c>
      <c r="S22" s="49">
        <v>0</v>
      </c>
      <c r="T22" s="49">
        <v>0</v>
      </c>
      <c r="U22" s="49">
        <v>0</v>
      </c>
      <c r="V22" s="49">
        <v>1</v>
      </c>
      <c r="W22" s="49" t="s">
        <v>537</v>
      </c>
      <c r="X22" s="49" t="s">
        <v>538</v>
      </c>
      <c r="Y22" s="49">
        <v>60046</v>
      </c>
      <c r="Z22" s="49">
        <v>0</v>
      </c>
      <c r="AA22" s="49">
        <v>0</v>
      </c>
      <c r="AB22" s="49">
        <v>0</v>
      </c>
      <c r="AC22" s="49">
        <v>0</v>
      </c>
      <c r="AD22" s="49">
        <v>0</v>
      </c>
      <c r="AE22" s="49">
        <v>2</v>
      </c>
      <c r="AF22" s="49">
        <v>0</v>
      </c>
      <c r="AG22" s="49">
        <v>0</v>
      </c>
      <c r="AH22" s="49">
        <v>10301</v>
      </c>
      <c r="AI22" s="49" t="s">
        <v>526</v>
      </c>
      <c r="AJ22" s="49" t="s">
        <v>267</v>
      </c>
    </row>
    <row r="23" spans="1:36">
      <c r="A23" s="58">
        <v>10303</v>
      </c>
      <c r="B23" s="58">
        <v>10300</v>
      </c>
      <c r="C23" s="58" t="s">
        <v>479</v>
      </c>
      <c r="D23" s="58">
        <v>3</v>
      </c>
      <c r="E23" s="59">
        <v>150</v>
      </c>
      <c r="F23" s="58">
        <v>3</v>
      </c>
      <c r="G23" s="58" t="s">
        <v>536</v>
      </c>
      <c r="H23" s="58" t="s">
        <v>523</v>
      </c>
      <c r="I23" s="58">
        <v>2</v>
      </c>
      <c r="J23" s="58">
        <v>15000</v>
      </c>
      <c r="K23" s="58">
        <v>540</v>
      </c>
      <c r="L23" s="58">
        <v>0</v>
      </c>
      <c r="M23" s="58">
        <v>3</v>
      </c>
      <c r="N23" s="58">
        <v>0</v>
      </c>
      <c r="O23" s="58">
        <v>0</v>
      </c>
      <c r="P23" s="49">
        <v>0</v>
      </c>
      <c r="Q23" s="49">
        <v>0</v>
      </c>
      <c r="R23" s="49">
        <v>0</v>
      </c>
      <c r="S23" s="49">
        <v>0</v>
      </c>
      <c r="T23" s="49">
        <v>0</v>
      </c>
      <c r="U23" s="49">
        <v>0</v>
      </c>
      <c r="V23" s="49">
        <v>1</v>
      </c>
      <c r="W23" s="49" t="s">
        <v>537</v>
      </c>
      <c r="X23" s="49" t="s">
        <v>538</v>
      </c>
      <c r="Y23" s="49">
        <v>60046</v>
      </c>
      <c r="Z23" s="49">
        <v>0</v>
      </c>
      <c r="AA23" s="49">
        <v>0</v>
      </c>
      <c r="AB23" s="49">
        <v>0</v>
      </c>
      <c r="AC23" s="49">
        <v>0</v>
      </c>
      <c r="AD23" s="49">
        <v>0</v>
      </c>
      <c r="AE23" s="49">
        <v>3</v>
      </c>
      <c r="AF23" s="49">
        <v>0</v>
      </c>
      <c r="AG23" s="49">
        <v>0</v>
      </c>
      <c r="AH23" s="49">
        <v>10301</v>
      </c>
      <c r="AI23" s="49" t="s">
        <v>526</v>
      </c>
      <c r="AJ23" s="49" t="s">
        <v>267</v>
      </c>
    </row>
    <row r="24" spans="1:36">
      <c r="A24" s="58">
        <v>10304</v>
      </c>
      <c r="B24" s="58">
        <v>10300</v>
      </c>
      <c r="C24" s="58" t="s">
        <v>479</v>
      </c>
      <c r="D24" s="58">
        <v>4</v>
      </c>
      <c r="E24" s="59">
        <v>240</v>
      </c>
      <c r="F24" s="58">
        <v>3</v>
      </c>
      <c r="G24" s="58" t="s">
        <v>536</v>
      </c>
      <c r="H24" s="58" t="s">
        <v>523</v>
      </c>
      <c r="I24" s="58">
        <v>2</v>
      </c>
      <c r="J24" s="58">
        <v>30000</v>
      </c>
      <c r="K24" s="58">
        <v>720</v>
      </c>
      <c r="L24" s="58">
        <v>0</v>
      </c>
      <c r="M24" s="58">
        <v>4</v>
      </c>
      <c r="N24" s="58">
        <v>0</v>
      </c>
      <c r="O24" s="58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1</v>
      </c>
      <c r="W24" s="49" t="s">
        <v>537</v>
      </c>
      <c r="X24" s="49" t="s">
        <v>538</v>
      </c>
      <c r="Y24" s="49">
        <v>60046</v>
      </c>
      <c r="Z24" s="49">
        <v>0</v>
      </c>
      <c r="AA24" s="49">
        <v>0</v>
      </c>
      <c r="AB24" s="49">
        <v>0</v>
      </c>
      <c r="AC24" s="49">
        <v>0</v>
      </c>
      <c r="AD24" s="49">
        <v>0</v>
      </c>
      <c r="AE24" s="49">
        <v>4</v>
      </c>
      <c r="AF24" s="49">
        <v>0</v>
      </c>
      <c r="AG24" s="49">
        <v>0</v>
      </c>
      <c r="AH24" s="49">
        <v>10301</v>
      </c>
      <c r="AI24" s="49" t="s">
        <v>526</v>
      </c>
      <c r="AJ24" s="49" t="s">
        <v>267</v>
      </c>
    </row>
    <row r="25" spans="1:36">
      <c r="A25" s="58">
        <v>10305</v>
      </c>
      <c r="B25" s="58">
        <v>10300</v>
      </c>
      <c r="C25" s="58" t="s">
        <v>479</v>
      </c>
      <c r="D25" s="58">
        <v>5</v>
      </c>
      <c r="E25" s="59">
        <v>260</v>
      </c>
      <c r="F25" s="58">
        <v>3</v>
      </c>
      <c r="G25" s="58" t="s">
        <v>536</v>
      </c>
      <c r="H25" s="58" t="s">
        <v>523</v>
      </c>
      <c r="I25" s="58">
        <v>2</v>
      </c>
      <c r="J25" s="58">
        <v>100000</v>
      </c>
      <c r="K25" s="58">
        <v>960</v>
      </c>
      <c r="L25" s="58">
        <v>0</v>
      </c>
      <c r="M25" s="58">
        <v>5</v>
      </c>
      <c r="N25" s="58">
        <v>0</v>
      </c>
      <c r="O25" s="58">
        <v>0</v>
      </c>
      <c r="P25" s="49">
        <v>0</v>
      </c>
      <c r="Q25" s="49">
        <v>0</v>
      </c>
      <c r="R25" s="49">
        <v>0</v>
      </c>
      <c r="S25" s="49">
        <v>0</v>
      </c>
      <c r="T25" s="49">
        <v>0</v>
      </c>
      <c r="U25" s="49">
        <v>0</v>
      </c>
      <c r="V25" s="49">
        <v>1</v>
      </c>
      <c r="W25" s="49" t="s">
        <v>537</v>
      </c>
      <c r="X25" s="49" t="s">
        <v>538</v>
      </c>
      <c r="Y25" s="49">
        <v>60046</v>
      </c>
      <c r="Z25" s="49">
        <v>0</v>
      </c>
      <c r="AA25" s="49">
        <v>0</v>
      </c>
      <c r="AB25" s="49">
        <v>0</v>
      </c>
      <c r="AC25" s="49">
        <v>0</v>
      </c>
      <c r="AD25" s="49">
        <v>0</v>
      </c>
      <c r="AE25" s="49">
        <v>5</v>
      </c>
      <c r="AF25" s="49">
        <v>0</v>
      </c>
      <c r="AG25" s="49">
        <v>0</v>
      </c>
      <c r="AH25" s="49">
        <v>10301</v>
      </c>
      <c r="AI25" s="49" t="s">
        <v>526</v>
      </c>
      <c r="AJ25" s="49" t="s">
        <v>267</v>
      </c>
    </row>
    <row r="26" spans="1:36">
      <c r="A26" s="58">
        <v>10306</v>
      </c>
      <c r="B26" s="58">
        <v>10300</v>
      </c>
      <c r="C26" s="58" t="s">
        <v>479</v>
      </c>
      <c r="D26" s="58">
        <v>6</v>
      </c>
      <c r="E26" s="59">
        <v>280</v>
      </c>
      <c r="F26" s="58">
        <v>3</v>
      </c>
      <c r="G26" s="58" t="s">
        <v>536</v>
      </c>
      <c r="H26" s="58" t="s">
        <v>523</v>
      </c>
      <c r="I26" s="58">
        <v>2</v>
      </c>
      <c r="J26" s="58">
        <v>130000</v>
      </c>
      <c r="K26" s="58">
        <v>1440</v>
      </c>
      <c r="L26" s="58">
        <v>0</v>
      </c>
      <c r="M26" s="58">
        <v>6</v>
      </c>
      <c r="N26" s="58">
        <v>0</v>
      </c>
      <c r="O26" s="58">
        <v>0</v>
      </c>
      <c r="P26" s="49">
        <v>0</v>
      </c>
      <c r="Q26" s="49">
        <v>0</v>
      </c>
      <c r="R26" s="49">
        <v>0</v>
      </c>
      <c r="S26" s="49">
        <v>0</v>
      </c>
      <c r="T26" s="49">
        <v>0</v>
      </c>
      <c r="U26" s="49">
        <v>0</v>
      </c>
      <c r="V26" s="49">
        <v>1</v>
      </c>
      <c r="W26" s="49" t="s">
        <v>537</v>
      </c>
      <c r="X26" s="49" t="s">
        <v>538</v>
      </c>
      <c r="Y26" s="49">
        <v>60046</v>
      </c>
      <c r="Z26" s="49">
        <v>0</v>
      </c>
      <c r="AA26" s="49">
        <v>0</v>
      </c>
      <c r="AB26" s="49">
        <v>0</v>
      </c>
      <c r="AC26" s="49">
        <v>0</v>
      </c>
      <c r="AD26" s="49">
        <v>0</v>
      </c>
      <c r="AE26" s="49">
        <v>6</v>
      </c>
      <c r="AF26" s="49">
        <v>0</v>
      </c>
      <c r="AG26" s="49">
        <v>0</v>
      </c>
      <c r="AH26" s="49">
        <v>10301</v>
      </c>
      <c r="AI26" s="49" t="s">
        <v>526</v>
      </c>
      <c r="AJ26" s="49" t="s">
        <v>267</v>
      </c>
    </row>
    <row r="27" spans="1:36">
      <c r="A27" s="58">
        <v>10307</v>
      </c>
      <c r="B27" s="58">
        <v>10300</v>
      </c>
      <c r="C27" s="58" t="s">
        <v>479</v>
      </c>
      <c r="D27" s="58">
        <v>7</v>
      </c>
      <c r="E27" s="59">
        <v>350</v>
      </c>
      <c r="F27" s="58">
        <v>3</v>
      </c>
      <c r="G27" s="58" t="s">
        <v>536</v>
      </c>
      <c r="H27" s="58" t="s">
        <v>523</v>
      </c>
      <c r="I27" s="58">
        <v>2</v>
      </c>
      <c r="J27" s="58">
        <v>170000</v>
      </c>
      <c r="K27" s="58">
        <v>2880</v>
      </c>
      <c r="L27" s="58">
        <v>0</v>
      </c>
      <c r="M27" s="58">
        <v>7</v>
      </c>
      <c r="N27" s="58">
        <v>0</v>
      </c>
      <c r="O27" s="58">
        <v>0</v>
      </c>
      <c r="P27" s="49">
        <v>0</v>
      </c>
      <c r="Q27" s="49">
        <v>0</v>
      </c>
      <c r="R27" s="49">
        <v>0</v>
      </c>
      <c r="S27" s="49">
        <v>0</v>
      </c>
      <c r="T27" s="49">
        <v>0</v>
      </c>
      <c r="U27" s="49">
        <v>0</v>
      </c>
      <c r="V27" s="49">
        <v>1</v>
      </c>
      <c r="W27" s="49" t="s">
        <v>537</v>
      </c>
      <c r="X27" s="49" t="s">
        <v>538</v>
      </c>
      <c r="Y27" s="49">
        <v>60046</v>
      </c>
      <c r="Z27" s="49">
        <v>0</v>
      </c>
      <c r="AA27" s="49">
        <v>0</v>
      </c>
      <c r="AB27" s="49">
        <v>0</v>
      </c>
      <c r="AC27" s="49">
        <v>0</v>
      </c>
      <c r="AD27" s="49">
        <v>0</v>
      </c>
      <c r="AE27" s="49">
        <v>7</v>
      </c>
      <c r="AF27" s="49">
        <v>0</v>
      </c>
      <c r="AG27" s="49">
        <v>0</v>
      </c>
      <c r="AH27" s="49">
        <v>10301</v>
      </c>
      <c r="AI27" s="49" t="s">
        <v>526</v>
      </c>
      <c r="AJ27" s="49" t="s">
        <v>267</v>
      </c>
    </row>
    <row r="28" spans="1:36">
      <c r="A28" s="58">
        <v>10308</v>
      </c>
      <c r="B28" s="58">
        <v>10300</v>
      </c>
      <c r="C28" s="58" t="s">
        <v>479</v>
      </c>
      <c r="D28" s="58">
        <v>8</v>
      </c>
      <c r="E28" s="59">
        <v>400</v>
      </c>
      <c r="F28" s="58">
        <v>3</v>
      </c>
      <c r="G28" s="58" t="s">
        <v>536</v>
      </c>
      <c r="H28" s="58" t="s">
        <v>523</v>
      </c>
      <c r="I28" s="58">
        <v>2</v>
      </c>
      <c r="J28" s="58">
        <v>0</v>
      </c>
      <c r="K28" s="58">
        <v>0</v>
      </c>
      <c r="L28" s="58">
        <v>0</v>
      </c>
      <c r="M28" s="58">
        <v>8</v>
      </c>
      <c r="N28" s="58">
        <v>0</v>
      </c>
      <c r="O28" s="58">
        <v>0</v>
      </c>
      <c r="P28" s="49">
        <v>0</v>
      </c>
      <c r="Q28" s="49">
        <v>0</v>
      </c>
      <c r="R28" s="49">
        <v>0</v>
      </c>
      <c r="S28" s="49">
        <v>0</v>
      </c>
      <c r="T28" s="49">
        <v>0</v>
      </c>
      <c r="U28" s="49">
        <v>0</v>
      </c>
      <c r="V28" s="49">
        <v>1</v>
      </c>
      <c r="W28" s="49" t="s">
        <v>537</v>
      </c>
      <c r="X28" s="49" t="s">
        <v>538</v>
      </c>
      <c r="Y28" s="49">
        <v>60046</v>
      </c>
      <c r="Z28" s="49">
        <v>0</v>
      </c>
      <c r="AA28" s="49">
        <v>0</v>
      </c>
      <c r="AB28" s="49">
        <v>0</v>
      </c>
      <c r="AC28" s="49">
        <v>0</v>
      </c>
      <c r="AD28" s="49">
        <v>0</v>
      </c>
      <c r="AE28" s="49">
        <v>8</v>
      </c>
      <c r="AF28" s="49">
        <v>0</v>
      </c>
      <c r="AG28" s="49">
        <v>0</v>
      </c>
      <c r="AH28" s="49">
        <v>10301</v>
      </c>
      <c r="AI28" s="49" t="s">
        <v>526</v>
      </c>
      <c r="AJ28" s="49" t="s">
        <v>267</v>
      </c>
    </row>
    <row r="29" spans="1:36">
      <c r="A29" s="58">
        <v>10401</v>
      </c>
      <c r="B29" s="58">
        <v>10400</v>
      </c>
      <c r="C29" s="58" t="s">
        <v>539</v>
      </c>
      <c r="D29" s="58">
        <v>1</v>
      </c>
      <c r="E29" s="59">
        <v>80</v>
      </c>
      <c r="F29" s="58">
        <v>3</v>
      </c>
      <c r="G29" s="58" t="s">
        <v>540</v>
      </c>
      <c r="H29" s="58" t="s">
        <v>523</v>
      </c>
      <c r="I29" s="58">
        <v>1</v>
      </c>
      <c r="J29" s="58">
        <v>1005</v>
      </c>
      <c r="K29" s="58">
        <v>15</v>
      </c>
      <c r="L29" s="58">
        <v>0</v>
      </c>
      <c r="M29" s="58">
        <v>1</v>
      </c>
      <c r="N29" s="58">
        <v>0</v>
      </c>
      <c r="O29" s="58">
        <v>0</v>
      </c>
      <c r="P29" s="49">
        <v>0</v>
      </c>
      <c r="Q29" s="49">
        <v>0</v>
      </c>
      <c r="R29" s="49">
        <v>0</v>
      </c>
      <c r="S29" s="49">
        <v>0</v>
      </c>
      <c r="T29" s="49">
        <v>0</v>
      </c>
      <c r="U29" s="49">
        <v>0</v>
      </c>
      <c r="V29" s="49">
        <v>1</v>
      </c>
      <c r="W29" s="49" t="s">
        <v>541</v>
      </c>
      <c r="X29" s="49" t="s">
        <v>542</v>
      </c>
      <c r="Y29" s="49">
        <v>60047</v>
      </c>
      <c r="Z29" s="49">
        <v>0</v>
      </c>
      <c r="AA29" s="49">
        <v>0</v>
      </c>
      <c r="AB29" s="49">
        <v>0</v>
      </c>
      <c r="AC29" s="49">
        <v>0</v>
      </c>
      <c r="AD29" s="49">
        <v>0</v>
      </c>
      <c r="AE29" s="49">
        <v>1</v>
      </c>
      <c r="AF29" s="49">
        <v>0</v>
      </c>
      <c r="AG29" s="49">
        <v>0</v>
      </c>
      <c r="AH29" s="49">
        <v>10401</v>
      </c>
      <c r="AI29" s="49" t="s">
        <v>526</v>
      </c>
      <c r="AJ29" s="49" t="s">
        <v>267</v>
      </c>
    </row>
    <row r="30" spans="1:36">
      <c r="A30" s="58">
        <v>10501</v>
      </c>
      <c r="B30" s="58">
        <v>10500</v>
      </c>
      <c r="C30" s="58" t="s">
        <v>253</v>
      </c>
      <c r="D30" s="58">
        <v>1</v>
      </c>
      <c r="E30" s="59">
        <v>120</v>
      </c>
      <c r="F30" s="58">
        <v>3</v>
      </c>
      <c r="G30" s="58" t="s">
        <v>543</v>
      </c>
      <c r="H30" s="58" t="s">
        <v>528</v>
      </c>
      <c r="I30" s="58">
        <v>2</v>
      </c>
      <c r="J30" s="58">
        <v>100</v>
      </c>
      <c r="K30" s="58">
        <v>1</v>
      </c>
      <c r="L30" s="58">
        <v>0</v>
      </c>
      <c r="M30" s="58">
        <v>2</v>
      </c>
      <c r="N30" s="58">
        <v>900</v>
      </c>
      <c r="O30" s="58">
        <v>0</v>
      </c>
      <c r="P30" s="49">
        <v>0</v>
      </c>
      <c r="Q30" s="49">
        <v>1</v>
      </c>
      <c r="R30" s="49">
        <v>520</v>
      </c>
      <c r="S30" s="49">
        <v>45</v>
      </c>
      <c r="T30" s="49">
        <v>0</v>
      </c>
      <c r="U30" s="49">
        <v>0</v>
      </c>
      <c r="V30" s="49">
        <v>1</v>
      </c>
      <c r="W30" s="49" t="s">
        <v>544</v>
      </c>
      <c r="X30" s="49" t="s">
        <v>545</v>
      </c>
      <c r="Y30" s="49">
        <v>60050</v>
      </c>
      <c r="Z30" s="49">
        <v>60051</v>
      </c>
      <c r="AA30" s="49">
        <v>0</v>
      </c>
      <c r="AB30" s="49">
        <v>60052</v>
      </c>
      <c r="AC30" s="49">
        <v>0</v>
      </c>
      <c r="AD30" s="49">
        <v>0</v>
      </c>
      <c r="AE30" s="49">
        <v>1</v>
      </c>
      <c r="AF30" s="49">
        <v>0</v>
      </c>
      <c r="AG30" s="49">
        <v>1</v>
      </c>
      <c r="AH30" s="49">
        <v>10501</v>
      </c>
      <c r="AI30" s="49" t="s">
        <v>526</v>
      </c>
      <c r="AJ30" s="49" t="s">
        <v>267</v>
      </c>
    </row>
    <row r="31" spans="1:36">
      <c r="A31" s="58">
        <v>10502</v>
      </c>
      <c r="B31" s="58">
        <v>10500</v>
      </c>
      <c r="C31" s="58" t="s">
        <v>253</v>
      </c>
      <c r="D31" s="58">
        <v>2</v>
      </c>
      <c r="E31" s="59">
        <v>160</v>
      </c>
      <c r="F31" s="58">
        <v>3</v>
      </c>
      <c r="G31" s="58" t="s">
        <v>543</v>
      </c>
      <c r="H31" s="58" t="s">
        <v>528</v>
      </c>
      <c r="I31" s="58">
        <v>2</v>
      </c>
      <c r="J31" s="58">
        <v>500</v>
      </c>
      <c r="K31" s="58">
        <v>15</v>
      </c>
      <c r="L31" s="58">
        <v>0</v>
      </c>
      <c r="M31" s="58">
        <v>3</v>
      </c>
      <c r="N31" s="58">
        <v>3340</v>
      </c>
      <c r="O31" s="58">
        <v>0</v>
      </c>
      <c r="P31" s="49">
        <v>0</v>
      </c>
      <c r="Q31" s="49">
        <v>1</v>
      </c>
      <c r="R31" s="49">
        <v>640</v>
      </c>
      <c r="S31" s="49">
        <v>165</v>
      </c>
      <c r="T31" s="49">
        <v>0</v>
      </c>
      <c r="U31" s="49">
        <v>0</v>
      </c>
      <c r="V31" s="49">
        <v>1</v>
      </c>
      <c r="W31" s="49" t="s">
        <v>544</v>
      </c>
      <c r="X31" s="49" t="s">
        <v>545</v>
      </c>
      <c r="Y31" s="49">
        <v>60050</v>
      </c>
      <c r="Z31" s="49">
        <v>60051</v>
      </c>
      <c r="AA31" s="49">
        <v>0</v>
      </c>
      <c r="AB31" s="49">
        <v>60052</v>
      </c>
      <c r="AC31" s="49">
        <v>0</v>
      </c>
      <c r="AD31" s="49">
        <v>0</v>
      </c>
      <c r="AE31" s="49">
        <v>2</v>
      </c>
      <c r="AF31" s="49">
        <v>0</v>
      </c>
      <c r="AG31" s="49">
        <v>1</v>
      </c>
      <c r="AH31" s="49">
        <v>10501</v>
      </c>
      <c r="AI31" s="49" t="s">
        <v>526</v>
      </c>
      <c r="AJ31" s="49" t="s">
        <v>267</v>
      </c>
    </row>
    <row r="32" spans="1:36">
      <c r="A32" s="58">
        <v>10503</v>
      </c>
      <c r="B32" s="58">
        <v>10500</v>
      </c>
      <c r="C32" s="58" t="s">
        <v>253</v>
      </c>
      <c r="D32" s="58">
        <v>3</v>
      </c>
      <c r="E32" s="59">
        <v>180</v>
      </c>
      <c r="F32" s="58">
        <v>3</v>
      </c>
      <c r="G32" s="58" t="s">
        <v>543</v>
      </c>
      <c r="H32" s="58" t="s">
        <v>528</v>
      </c>
      <c r="I32" s="58">
        <v>2</v>
      </c>
      <c r="J32" s="58">
        <v>5000</v>
      </c>
      <c r="K32" s="58">
        <v>120</v>
      </c>
      <c r="L32" s="58">
        <v>0</v>
      </c>
      <c r="M32" s="58">
        <v>4</v>
      </c>
      <c r="N32" s="58">
        <v>5400</v>
      </c>
      <c r="O32" s="58">
        <v>0</v>
      </c>
      <c r="P32" s="49">
        <v>0</v>
      </c>
      <c r="Q32" s="49">
        <v>1</v>
      </c>
      <c r="R32" s="49">
        <v>830</v>
      </c>
      <c r="S32" s="49">
        <v>270</v>
      </c>
      <c r="T32" s="49">
        <v>0</v>
      </c>
      <c r="U32" s="49">
        <v>0</v>
      </c>
      <c r="V32" s="49">
        <v>1</v>
      </c>
      <c r="W32" s="49" t="s">
        <v>544</v>
      </c>
      <c r="X32" s="49" t="s">
        <v>545</v>
      </c>
      <c r="Y32" s="49">
        <v>60050</v>
      </c>
      <c r="Z32" s="49">
        <v>60051</v>
      </c>
      <c r="AA32" s="49">
        <v>0</v>
      </c>
      <c r="AB32" s="49">
        <v>60052</v>
      </c>
      <c r="AC32" s="49">
        <v>0</v>
      </c>
      <c r="AD32" s="49">
        <v>0</v>
      </c>
      <c r="AE32" s="49">
        <v>3</v>
      </c>
      <c r="AF32" s="49">
        <v>0</v>
      </c>
      <c r="AG32" s="49">
        <v>1</v>
      </c>
      <c r="AH32" s="49">
        <v>10501</v>
      </c>
      <c r="AI32" s="49" t="s">
        <v>526</v>
      </c>
      <c r="AJ32" s="49" t="s">
        <v>267</v>
      </c>
    </row>
    <row r="33" spans="1:36">
      <c r="A33" s="58">
        <v>10504</v>
      </c>
      <c r="B33" s="58">
        <v>10500</v>
      </c>
      <c r="C33" s="58" t="s">
        <v>253</v>
      </c>
      <c r="D33" s="58">
        <v>4</v>
      </c>
      <c r="E33" s="59">
        <v>240</v>
      </c>
      <c r="F33" s="58">
        <v>3</v>
      </c>
      <c r="G33" s="58" t="s">
        <v>543</v>
      </c>
      <c r="H33" s="58" t="s">
        <v>528</v>
      </c>
      <c r="I33" s="58">
        <v>2</v>
      </c>
      <c r="J33" s="58">
        <v>20000</v>
      </c>
      <c r="K33" s="58">
        <v>360</v>
      </c>
      <c r="L33" s="58">
        <v>0</v>
      </c>
      <c r="M33" s="58">
        <v>5</v>
      </c>
      <c r="N33" s="58">
        <v>7200</v>
      </c>
      <c r="O33" s="58">
        <v>0</v>
      </c>
      <c r="P33" s="49">
        <v>0</v>
      </c>
      <c r="Q33" s="49">
        <v>1</v>
      </c>
      <c r="R33" s="49">
        <v>1100</v>
      </c>
      <c r="S33" s="49">
        <v>360</v>
      </c>
      <c r="T33" s="49">
        <v>0</v>
      </c>
      <c r="U33" s="49">
        <v>0</v>
      </c>
      <c r="V33" s="49">
        <v>1</v>
      </c>
      <c r="W33" s="49" t="s">
        <v>544</v>
      </c>
      <c r="X33" s="49" t="s">
        <v>545</v>
      </c>
      <c r="Y33" s="49">
        <v>60050</v>
      </c>
      <c r="Z33" s="49">
        <v>60051</v>
      </c>
      <c r="AA33" s="49">
        <v>0</v>
      </c>
      <c r="AB33" s="49">
        <v>60052</v>
      </c>
      <c r="AC33" s="49">
        <v>0</v>
      </c>
      <c r="AD33" s="49">
        <v>0</v>
      </c>
      <c r="AE33" s="49">
        <v>4</v>
      </c>
      <c r="AF33" s="49">
        <v>0</v>
      </c>
      <c r="AG33" s="49">
        <v>1</v>
      </c>
      <c r="AH33" s="49">
        <v>10501</v>
      </c>
      <c r="AI33" s="49" t="s">
        <v>526</v>
      </c>
      <c r="AJ33" s="49" t="s">
        <v>267</v>
      </c>
    </row>
    <row r="34" spans="1:36">
      <c r="A34" s="58">
        <v>10505</v>
      </c>
      <c r="B34" s="58">
        <v>10500</v>
      </c>
      <c r="C34" s="58" t="s">
        <v>253</v>
      </c>
      <c r="D34" s="58">
        <v>5</v>
      </c>
      <c r="E34" s="59">
        <v>280</v>
      </c>
      <c r="F34" s="58">
        <v>3</v>
      </c>
      <c r="G34" s="58" t="s">
        <v>543</v>
      </c>
      <c r="H34" s="58" t="s">
        <v>528</v>
      </c>
      <c r="I34" s="58">
        <v>2</v>
      </c>
      <c r="J34" s="58">
        <v>36000</v>
      </c>
      <c r="K34" s="58">
        <v>720</v>
      </c>
      <c r="L34" s="58">
        <v>0</v>
      </c>
      <c r="M34" s="58">
        <v>7</v>
      </c>
      <c r="N34" s="58">
        <v>10000</v>
      </c>
      <c r="O34" s="58">
        <v>0</v>
      </c>
      <c r="P34" s="49">
        <v>0</v>
      </c>
      <c r="Q34" s="49">
        <v>1</v>
      </c>
      <c r="R34" s="49">
        <v>1410</v>
      </c>
      <c r="S34" s="49">
        <v>500</v>
      </c>
      <c r="T34" s="49">
        <v>0</v>
      </c>
      <c r="U34" s="49">
        <v>0</v>
      </c>
      <c r="V34" s="49">
        <v>1</v>
      </c>
      <c r="W34" s="49" t="s">
        <v>544</v>
      </c>
      <c r="X34" s="49" t="s">
        <v>545</v>
      </c>
      <c r="Y34" s="49">
        <v>60050</v>
      </c>
      <c r="Z34" s="49">
        <v>60051</v>
      </c>
      <c r="AA34" s="49">
        <v>0</v>
      </c>
      <c r="AB34" s="49">
        <v>60052</v>
      </c>
      <c r="AC34" s="49">
        <v>0</v>
      </c>
      <c r="AD34" s="49">
        <v>0</v>
      </c>
      <c r="AE34" s="49">
        <v>5</v>
      </c>
      <c r="AF34" s="49">
        <v>0</v>
      </c>
      <c r="AG34" s="49">
        <v>1</v>
      </c>
      <c r="AH34" s="49">
        <v>10501</v>
      </c>
      <c r="AI34" s="49" t="s">
        <v>526</v>
      </c>
      <c r="AJ34" s="49" t="s">
        <v>267</v>
      </c>
    </row>
    <row r="35" spans="1:36">
      <c r="A35" s="58">
        <v>10506</v>
      </c>
      <c r="B35" s="58">
        <v>10500</v>
      </c>
      <c r="C35" s="58" t="s">
        <v>253</v>
      </c>
      <c r="D35" s="58">
        <v>6</v>
      </c>
      <c r="E35" s="59">
        <v>360</v>
      </c>
      <c r="F35" s="58">
        <v>3</v>
      </c>
      <c r="G35" s="58" t="s">
        <v>543</v>
      </c>
      <c r="H35" s="58" t="s">
        <v>528</v>
      </c>
      <c r="I35" s="58">
        <v>2</v>
      </c>
      <c r="J35" s="58">
        <v>64000</v>
      </c>
      <c r="K35" s="58">
        <v>1440</v>
      </c>
      <c r="L35" s="58">
        <v>0</v>
      </c>
      <c r="M35" s="58">
        <v>8</v>
      </c>
      <c r="N35" s="58">
        <v>15000</v>
      </c>
      <c r="O35" s="58">
        <v>0</v>
      </c>
      <c r="P35" s="49">
        <v>0</v>
      </c>
      <c r="Q35" s="49">
        <v>1</v>
      </c>
      <c r="R35" s="49">
        <v>1900</v>
      </c>
      <c r="S35" s="49">
        <v>750</v>
      </c>
      <c r="T35" s="49">
        <v>0</v>
      </c>
      <c r="U35" s="49">
        <v>0</v>
      </c>
      <c r="V35" s="49">
        <v>1</v>
      </c>
      <c r="W35" s="49" t="s">
        <v>544</v>
      </c>
      <c r="X35" s="49" t="s">
        <v>545</v>
      </c>
      <c r="Y35" s="49">
        <v>60050</v>
      </c>
      <c r="Z35" s="49">
        <v>60051</v>
      </c>
      <c r="AA35" s="49">
        <v>0</v>
      </c>
      <c r="AB35" s="49">
        <v>60052</v>
      </c>
      <c r="AC35" s="49">
        <v>0</v>
      </c>
      <c r="AD35" s="49">
        <v>0</v>
      </c>
      <c r="AE35" s="49">
        <v>6</v>
      </c>
      <c r="AF35" s="49">
        <v>0</v>
      </c>
      <c r="AG35" s="49">
        <v>1</v>
      </c>
      <c r="AH35" s="49">
        <v>10501</v>
      </c>
      <c r="AI35" s="49" t="s">
        <v>526</v>
      </c>
      <c r="AJ35" s="49" t="s">
        <v>267</v>
      </c>
    </row>
    <row r="36" spans="1:36">
      <c r="A36" s="58">
        <v>10507</v>
      </c>
      <c r="B36" s="58">
        <v>10500</v>
      </c>
      <c r="C36" s="58" t="s">
        <v>253</v>
      </c>
      <c r="D36" s="58">
        <v>7</v>
      </c>
      <c r="E36" s="59">
        <v>440</v>
      </c>
      <c r="F36" s="58">
        <v>3</v>
      </c>
      <c r="G36" s="58" t="s">
        <v>543</v>
      </c>
      <c r="H36" s="58" t="s">
        <v>528</v>
      </c>
      <c r="I36" s="58">
        <v>2</v>
      </c>
      <c r="J36" s="58">
        <v>130000</v>
      </c>
      <c r="K36" s="58">
        <v>2880</v>
      </c>
      <c r="L36" s="58">
        <v>0</v>
      </c>
      <c r="M36" s="58">
        <v>9</v>
      </c>
      <c r="N36" s="58">
        <v>22000</v>
      </c>
      <c r="O36" s="58">
        <v>0</v>
      </c>
      <c r="P36" s="49">
        <v>0</v>
      </c>
      <c r="Q36" s="49">
        <v>1</v>
      </c>
      <c r="R36" s="49">
        <v>2600</v>
      </c>
      <c r="S36" s="49">
        <v>1100</v>
      </c>
      <c r="T36" s="49">
        <v>0</v>
      </c>
      <c r="U36" s="49">
        <v>0</v>
      </c>
      <c r="V36" s="49">
        <v>1</v>
      </c>
      <c r="W36" s="49" t="s">
        <v>544</v>
      </c>
      <c r="X36" s="49" t="s">
        <v>545</v>
      </c>
      <c r="Y36" s="49">
        <v>60050</v>
      </c>
      <c r="Z36" s="49">
        <v>60051</v>
      </c>
      <c r="AA36" s="49">
        <v>0</v>
      </c>
      <c r="AB36" s="49">
        <v>60052</v>
      </c>
      <c r="AC36" s="49">
        <v>0</v>
      </c>
      <c r="AD36" s="49">
        <v>0</v>
      </c>
      <c r="AE36" s="49">
        <v>7</v>
      </c>
      <c r="AF36" s="49">
        <v>0</v>
      </c>
      <c r="AG36" s="49">
        <v>1</v>
      </c>
      <c r="AH36" s="49">
        <v>10501</v>
      </c>
      <c r="AI36" s="49" t="s">
        <v>526</v>
      </c>
      <c r="AJ36" s="49" t="s">
        <v>267</v>
      </c>
    </row>
    <row r="37" spans="1:36">
      <c r="A37" s="58">
        <v>10508</v>
      </c>
      <c r="B37" s="58">
        <v>10500</v>
      </c>
      <c r="C37" s="58" t="s">
        <v>253</v>
      </c>
      <c r="D37" s="58">
        <v>8</v>
      </c>
      <c r="E37" s="59">
        <v>500</v>
      </c>
      <c r="F37" s="58">
        <v>3</v>
      </c>
      <c r="G37" s="58" t="s">
        <v>543</v>
      </c>
      <c r="H37" s="58" t="s">
        <v>528</v>
      </c>
      <c r="I37" s="58">
        <v>2</v>
      </c>
      <c r="J37" s="58">
        <v>0</v>
      </c>
      <c r="K37" s="58">
        <v>0</v>
      </c>
      <c r="L37" s="58">
        <v>0</v>
      </c>
      <c r="M37" s="58">
        <v>10</v>
      </c>
      <c r="N37" s="58">
        <v>30000</v>
      </c>
      <c r="O37" s="58">
        <v>0</v>
      </c>
      <c r="P37" s="49">
        <v>0</v>
      </c>
      <c r="Q37" s="49">
        <v>1</v>
      </c>
      <c r="R37" s="49">
        <v>3500</v>
      </c>
      <c r="S37" s="49">
        <v>1500</v>
      </c>
      <c r="T37" s="49">
        <v>0</v>
      </c>
      <c r="U37" s="49">
        <v>0</v>
      </c>
      <c r="V37" s="49">
        <v>1</v>
      </c>
      <c r="W37" s="49" t="s">
        <v>544</v>
      </c>
      <c r="X37" s="49" t="s">
        <v>545</v>
      </c>
      <c r="Y37" s="49">
        <v>60050</v>
      </c>
      <c r="Z37" s="49">
        <v>60051</v>
      </c>
      <c r="AA37" s="49">
        <v>0</v>
      </c>
      <c r="AB37" s="49">
        <v>60052</v>
      </c>
      <c r="AC37" s="49">
        <v>0</v>
      </c>
      <c r="AD37" s="49">
        <v>0</v>
      </c>
      <c r="AE37" s="49">
        <v>8</v>
      </c>
      <c r="AF37" s="49">
        <v>0</v>
      </c>
      <c r="AG37" s="49">
        <v>1</v>
      </c>
      <c r="AH37" s="49">
        <v>10501</v>
      </c>
      <c r="AI37" s="49" t="s">
        <v>526</v>
      </c>
      <c r="AJ37" s="49" t="s">
        <v>267</v>
      </c>
    </row>
    <row r="38" spans="1:36">
      <c r="A38" s="58">
        <v>10601</v>
      </c>
      <c r="B38" s="58">
        <v>10600</v>
      </c>
      <c r="C38" s="58" t="s">
        <v>255</v>
      </c>
      <c r="D38" s="58">
        <v>1</v>
      </c>
      <c r="E38" s="59">
        <v>120</v>
      </c>
      <c r="F38" s="58">
        <v>3</v>
      </c>
      <c r="G38" s="58" t="s">
        <v>543</v>
      </c>
      <c r="H38" s="58" t="s">
        <v>528</v>
      </c>
      <c r="I38" s="58">
        <v>1</v>
      </c>
      <c r="J38" s="58">
        <v>100</v>
      </c>
      <c r="K38" s="58">
        <v>1</v>
      </c>
      <c r="L38" s="58">
        <v>0</v>
      </c>
      <c r="M38" s="58">
        <v>2</v>
      </c>
      <c r="N38" s="58">
        <v>0</v>
      </c>
      <c r="O38" s="58">
        <v>900</v>
      </c>
      <c r="P38" s="49">
        <v>0</v>
      </c>
      <c r="Q38" s="49">
        <v>2</v>
      </c>
      <c r="R38" s="49">
        <v>520</v>
      </c>
      <c r="S38" s="49">
        <v>45</v>
      </c>
      <c r="T38" s="49">
        <v>0</v>
      </c>
      <c r="U38" s="49">
        <v>0</v>
      </c>
      <c r="V38" s="49">
        <v>1</v>
      </c>
      <c r="W38" s="49" t="s">
        <v>546</v>
      </c>
      <c r="X38" s="49" t="s">
        <v>547</v>
      </c>
      <c r="Y38" s="49">
        <v>60053</v>
      </c>
      <c r="Z38" s="50">
        <v>60103</v>
      </c>
      <c r="AA38" s="49">
        <v>60054</v>
      </c>
      <c r="AB38" s="49">
        <v>60055</v>
      </c>
      <c r="AC38" s="49">
        <v>60100</v>
      </c>
      <c r="AD38" s="49">
        <v>60101</v>
      </c>
      <c r="AE38" s="49">
        <v>1</v>
      </c>
      <c r="AF38" s="49">
        <v>1</v>
      </c>
      <c r="AG38" s="49">
        <v>1</v>
      </c>
      <c r="AH38" s="49">
        <v>10601</v>
      </c>
      <c r="AI38" s="49" t="s">
        <v>526</v>
      </c>
      <c r="AJ38" s="49" t="s">
        <v>267</v>
      </c>
    </row>
    <row r="39" spans="1:36">
      <c r="A39" s="58">
        <v>10602</v>
      </c>
      <c r="B39" s="58">
        <v>10600</v>
      </c>
      <c r="C39" s="58" t="s">
        <v>255</v>
      </c>
      <c r="D39" s="58">
        <v>2</v>
      </c>
      <c r="E39" s="59">
        <v>160</v>
      </c>
      <c r="F39" s="58">
        <v>3</v>
      </c>
      <c r="G39" s="58" t="s">
        <v>543</v>
      </c>
      <c r="H39" s="58" t="s">
        <v>528</v>
      </c>
      <c r="I39" s="58">
        <v>1</v>
      </c>
      <c r="J39" s="58">
        <v>500</v>
      </c>
      <c r="K39" s="58">
        <v>15</v>
      </c>
      <c r="L39" s="58">
        <v>0</v>
      </c>
      <c r="M39" s="58">
        <v>3</v>
      </c>
      <c r="N39" s="58">
        <v>0</v>
      </c>
      <c r="O39" s="58">
        <v>3340</v>
      </c>
      <c r="P39" s="49">
        <v>0</v>
      </c>
      <c r="Q39" s="49">
        <v>2</v>
      </c>
      <c r="R39" s="49">
        <v>640</v>
      </c>
      <c r="S39" s="49">
        <v>165</v>
      </c>
      <c r="T39" s="49">
        <v>0</v>
      </c>
      <c r="U39" s="49">
        <v>0</v>
      </c>
      <c r="V39" s="49">
        <v>1</v>
      </c>
      <c r="W39" s="49" t="s">
        <v>546</v>
      </c>
      <c r="X39" s="49" t="s">
        <v>547</v>
      </c>
      <c r="Y39" s="49">
        <v>60053</v>
      </c>
      <c r="Z39" s="50">
        <v>60103</v>
      </c>
      <c r="AA39" s="49">
        <v>60054</v>
      </c>
      <c r="AB39" s="49">
        <v>60055</v>
      </c>
      <c r="AC39" s="49">
        <v>60100</v>
      </c>
      <c r="AD39" s="49">
        <v>60101</v>
      </c>
      <c r="AE39" s="49">
        <v>2</v>
      </c>
      <c r="AF39" s="49">
        <v>2</v>
      </c>
      <c r="AG39" s="49">
        <v>1</v>
      </c>
      <c r="AH39" s="49">
        <v>10601</v>
      </c>
      <c r="AI39" s="49" t="s">
        <v>526</v>
      </c>
      <c r="AJ39" s="49" t="s">
        <v>267</v>
      </c>
    </row>
    <row r="40" spans="1:36">
      <c r="A40" s="58">
        <v>10603</v>
      </c>
      <c r="B40" s="58">
        <v>10600</v>
      </c>
      <c r="C40" s="58" t="s">
        <v>255</v>
      </c>
      <c r="D40" s="58">
        <v>3</v>
      </c>
      <c r="E40" s="59">
        <v>180</v>
      </c>
      <c r="F40" s="58">
        <v>3</v>
      </c>
      <c r="G40" s="58" t="s">
        <v>543</v>
      </c>
      <c r="H40" s="58" t="s">
        <v>528</v>
      </c>
      <c r="I40" s="58">
        <v>1</v>
      </c>
      <c r="J40" s="58">
        <v>5000</v>
      </c>
      <c r="K40" s="58">
        <v>120</v>
      </c>
      <c r="L40" s="58">
        <v>0</v>
      </c>
      <c r="M40" s="58">
        <v>4</v>
      </c>
      <c r="N40" s="58">
        <v>0</v>
      </c>
      <c r="O40" s="58">
        <v>5400</v>
      </c>
      <c r="P40" s="49">
        <v>0</v>
      </c>
      <c r="Q40" s="49">
        <v>2</v>
      </c>
      <c r="R40" s="49">
        <v>830</v>
      </c>
      <c r="S40" s="49">
        <v>270</v>
      </c>
      <c r="T40" s="49">
        <v>0</v>
      </c>
      <c r="U40" s="49">
        <v>0</v>
      </c>
      <c r="V40" s="49">
        <v>1</v>
      </c>
      <c r="W40" s="49" t="s">
        <v>546</v>
      </c>
      <c r="X40" s="49" t="s">
        <v>547</v>
      </c>
      <c r="Y40" s="49">
        <v>60053</v>
      </c>
      <c r="Z40" s="50">
        <v>60103</v>
      </c>
      <c r="AA40" s="49">
        <v>60054</v>
      </c>
      <c r="AB40" s="49">
        <v>60055</v>
      </c>
      <c r="AC40" s="49">
        <v>60100</v>
      </c>
      <c r="AD40" s="49">
        <v>60101</v>
      </c>
      <c r="AE40" s="49">
        <v>3</v>
      </c>
      <c r="AF40" s="49">
        <v>3</v>
      </c>
      <c r="AG40" s="49">
        <v>2</v>
      </c>
      <c r="AH40" s="49">
        <v>10601</v>
      </c>
      <c r="AI40" s="49" t="s">
        <v>526</v>
      </c>
      <c r="AJ40" s="49" t="s">
        <v>267</v>
      </c>
    </row>
    <row r="41" spans="1:36">
      <c r="A41" s="58">
        <v>10604</v>
      </c>
      <c r="B41" s="58">
        <v>10600</v>
      </c>
      <c r="C41" s="58" t="s">
        <v>255</v>
      </c>
      <c r="D41" s="58">
        <v>4</v>
      </c>
      <c r="E41" s="59">
        <v>240</v>
      </c>
      <c r="F41" s="58">
        <v>3</v>
      </c>
      <c r="G41" s="58" t="s">
        <v>543</v>
      </c>
      <c r="H41" s="58" t="s">
        <v>528</v>
      </c>
      <c r="I41" s="58">
        <v>1</v>
      </c>
      <c r="J41" s="58">
        <v>20000</v>
      </c>
      <c r="K41" s="58">
        <v>360</v>
      </c>
      <c r="L41" s="58">
        <v>0</v>
      </c>
      <c r="M41" s="58">
        <v>5</v>
      </c>
      <c r="N41" s="58">
        <v>0</v>
      </c>
      <c r="O41" s="58">
        <v>7200</v>
      </c>
      <c r="P41" s="49">
        <v>0</v>
      </c>
      <c r="Q41" s="49">
        <v>2</v>
      </c>
      <c r="R41" s="49">
        <v>1100</v>
      </c>
      <c r="S41" s="49">
        <v>360</v>
      </c>
      <c r="T41" s="49">
        <v>0</v>
      </c>
      <c r="U41" s="49">
        <v>0</v>
      </c>
      <c r="V41" s="49">
        <v>1</v>
      </c>
      <c r="W41" s="49" t="s">
        <v>546</v>
      </c>
      <c r="X41" s="49" t="s">
        <v>547</v>
      </c>
      <c r="Y41" s="49">
        <v>60053</v>
      </c>
      <c r="Z41" s="50">
        <v>60103</v>
      </c>
      <c r="AA41" s="49">
        <v>60054</v>
      </c>
      <c r="AB41" s="49">
        <v>60055</v>
      </c>
      <c r="AC41" s="49">
        <v>60100</v>
      </c>
      <c r="AD41" s="49">
        <v>60101</v>
      </c>
      <c r="AE41" s="49">
        <v>4</v>
      </c>
      <c r="AF41" s="49">
        <v>4</v>
      </c>
      <c r="AG41" s="49">
        <v>4</v>
      </c>
      <c r="AH41" s="49">
        <v>10601</v>
      </c>
      <c r="AI41" s="49" t="s">
        <v>526</v>
      </c>
      <c r="AJ41" s="49" t="s">
        <v>267</v>
      </c>
    </row>
    <row r="42" spans="1:36">
      <c r="A42" s="58">
        <v>10605</v>
      </c>
      <c r="B42" s="58">
        <v>10600</v>
      </c>
      <c r="C42" s="58" t="s">
        <v>255</v>
      </c>
      <c r="D42" s="58">
        <v>5</v>
      </c>
      <c r="E42" s="59">
        <v>280</v>
      </c>
      <c r="F42" s="58">
        <v>3</v>
      </c>
      <c r="G42" s="58" t="s">
        <v>543</v>
      </c>
      <c r="H42" s="58" t="s">
        <v>528</v>
      </c>
      <c r="I42" s="58">
        <v>1</v>
      </c>
      <c r="J42" s="58">
        <v>36000</v>
      </c>
      <c r="K42" s="58">
        <v>720</v>
      </c>
      <c r="L42" s="58">
        <v>0</v>
      </c>
      <c r="M42" s="58">
        <v>7</v>
      </c>
      <c r="N42" s="58">
        <v>0</v>
      </c>
      <c r="O42" s="58">
        <v>10000</v>
      </c>
      <c r="P42" s="49">
        <v>0</v>
      </c>
      <c r="Q42" s="49">
        <v>2</v>
      </c>
      <c r="R42" s="49">
        <v>1410</v>
      </c>
      <c r="S42" s="49">
        <v>500</v>
      </c>
      <c r="T42" s="49">
        <v>0</v>
      </c>
      <c r="U42" s="49">
        <v>0</v>
      </c>
      <c r="V42" s="49">
        <v>1</v>
      </c>
      <c r="W42" s="49" t="s">
        <v>546</v>
      </c>
      <c r="X42" s="49" t="s">
        <v>547</v>
      </c>
      <c r="Y42" s="49">
        <v>60053</v>
      </c>
      <c r="Z42" s="50">
        <v>60103</v>
      </c>
      <c r="AA42" s="49">
        <v>60054</v>
      </c>
      <c r="AB42" s="49">
        <v>60055</v>
      </c>
      <c r="AC42" s="49">
        <v>60100</v>
      </c>
      <c r="AD42" s="49">
        <v>60101</v>
      </c>
      <c r="AE42" s="49">
        <v>5</v>
      </c>
      <c r="AF42" s="49">
        <v>5</v>
      </c>
      <c r="AG42" s="49">
        <v>5</v>
      </c>
      <c r="AH42" s="49">
        <v>10601</v>
      </c>
      <c r="AI42" s="49" t="s">
        <v>526</v>
      </c>
      <c r="AJ42" s="49" t="s">
        <v>267</v>
      </c>
    </row>
    <row r="43" spans="1:36">
      <c r="A43" s="58">
        <v>10606</v>
      </c>
      <c r="B43" s="58">
        <v>10600</v>
      </c>
      <c r="C43" s="58" t="s">
        <v>255</v>
      </c>
      <c r="D43" s="58">
        <v>6</v>
      </c>
      <c r="E43" s="59">
        <v>360</v>
      </c>
      <c r="F43" s="58">
        <v>3</v>
      </c>
      <c r="G43" s="58" t="s">
        <v>543</v>
      </c>
      <c r="H43" s="58" t="s">
        <v>528</v>
      </c>
      <c r="I43" s="58">
        <v>1</v>
      </c>
      <c r="J43" s="58">
        <v>64000</v>
      </c>
      <c r="K43" s="58">
        <v>1440</v>
      </c>
      <c r="L43" s="58">
        <v>0</v>
      </c>
      <c r="M43" s="58">
        <v>8</v>
      </c>
      <c r="N43" s="58">
        <v>0</v>
      </c>
      <c r="O43" s="58">
        <v>15000</v>
      </c>
      <c r="P43" s="49">
        <v>0</v>
      </c>
      <c r="Q43" s="49">
        <v>2</v>
      </c>
      <c r="R43" s="49">
        <v>1900</v>
      </c>
      <c r="S43" s="49">
        <v>750</v>
      </c>
      <c r="T43" s="49">
        <v>0</v>
      </c>
      <c r="U43" s="49">
        <v>0</v>
      </c>
      <c r="V43" s="49">
        <v>1</v>
      </c>
      <c r="W43" s="49" t="s">
        <v>546</v>
      </c>
      <c r="X43" s="49" t="s">
        <v>547</v>
      </c>
      <c r="Y43" s="49">
        <v>60053</v>
      </c>
      <c r="Z43" s="50">
        <v>60103</v>
      </c>
      <c r="AA43" s="49">
        <v>60054</v>
      </c>
      <c r="AB43" s="49">
        <v>60055</v>
      </c>
      <c r="AC43" s="49">
        <v>60100</v>
      </c>
      <c r="AD43" s="49">
        <v>60101</v>
      </c>
      <c r="AE43" s="49">
        <v>6</v>
      </c>
      <c r="AF43" s="49">
        <v>6</v>
      </c>
      <c r="AG43" s="49">
        <v>6</v>
      </c>
      <c r="AH43" s="49">
        <v>10601</v>
      </c>
      <c r="AI43" s="49" t="s">
        <v>526</v>
      </c>
      <c r="AJ43" s="49" t="s">
        <v>267</v>
      </c>
    </row>
    <row r="44" spans="1:36">
      <c r="A44" s="58">
        <v>10607</v>
      </c>
      <c r="B44" s="58">
        <v>10600</v>
      </c>
      <c r="C44" s="58" t="s">
        <v>255</v>
      </c>
      <c r="D44" s="58">
        <v>7</v>
      </c>
      <c r="E44" s="59">
        <v>440</v>
      </c>
      <c r="F44" s="58">
        <v>3</v>
      </c>
      <c r="G44" s="58" t="s">
        <v>543</v>
      </c>
      <c r="H44" s="58" t="s">
        <v>528</v>
      </c>
      <c r="I44" s="58">
        <v>1</v>
      </c>
      <c r="J44" s="58">
        <v>130000</v>
      </c>
      <c r="K44" s="58">
        <v>2880</v>
      </c>
      <c r="L44" s="58">
        <v>0</v>
      </c>
      <c r="M44" s="58">
        <v>9</v>
      </c>
      <c r="N44" s="58">
        <v>0</v>
      </c>
      <c r="O44" s="58">
        <v>22000</v>
      </c>
      <c r="P44" s="49">
        <v>0</v>
      </c>
      <c r="Q44" s="49">
        <v>2</v>
      </c>
      <c r="R44" s="49">
        <v>2600</v>
      </c>
      <c r="S44" s="49">
        <v>1100</v>
      </c>
      <c r="T44" s="49">
        <v>0</v>
      </c>
      <c r="U44" s="49">
        <v>0</v>
      </c>
      <c r="V44" s="49">
        <v>1</v>
      </c>
      <c r="W44" s="49" t="s">
        <v>546</v>
      </c>
      <c r="X44" s="49" t="s">
        <v>547</v>
      </c>
      <c r="Y44" s="49">
        <v>60053</v>
      </c>
      <c r="Z44" s="50">
        <v>60103</v>
      </c>
      <c r="AA44" s="49">
        <v>60054</v>
      </c>
      <c r="AB44" s="49">
        <v>60055</v>
      </c>
      <c r="AC44" s="49">
        <v>60100</v>
      </c>
      <c r="AD44" s="49">
        <v>60101</v>
      </c>
      <c r="AE44" s="49">
        <v>7</v>
      </c>
      <c r="AF44" s="49">
        <v>7</v>
      </c>
      <c r="AG44" s="49">
        <v>6</v>
      </c>
      <c r="AH44" s="49">
        <v>10601</v>
      </c>
      <c r="AI44" s="49" t="s">
        <v>526</v>
      </c>
      <c r="AJ44" s="49" t="s">
        <v>267</v>
      </c>
    </row>
    <row r="45" spans="1:36">
      <c r="A45" s="58">
        <v>10608</v>
      </c>
      <c r="B45" s="58">
        <v>10600</v>
      </c>
      <c r="C45" s="58" t="s">
        <v>255</v>
      </c>
      <c r="D45" s="58">
        <v>8</v>
      </c>
      <c r="E45" s="59">
        <v>500</v>
      </c>
      <c r="F45" s="58">
        <v>3</v>
      </c>
      <c r="G45" s="58" t="s">
        <v>543</v>
      </c>
      <c r="H45" s="58" t="s">
        <v>528</v>
      </c>
      <c r="I45" s="58">
        <v>1</v>
      </c>
      <c r="J45" s="58">
        <v>0</v>
      </c>
      <c r="K45" s="58">
        <v>0</v>
      </c>
      <c r="L45" s="58">
        <v>0</v>
      </c>
      <c r="M45" s="58">
        <v>10</v>
      </c>
      <c r="N45" s="58">
        <v>0</v>
      </c>
      <c r="O45" s="58">
        <v>30000</v>
      </c>
      <c r="P45" s="49">
        <v>0</v>
      </c>
      <c r="Q45" s="49">
        <v>2</v>
      </c>
      <c r="R45" s="49">
        <v>3500</v>
      </c>
      <c r="S45" s="49">
        <v>1500</v>
      </c>
      <c r="T45" s="49">
        <v>0</v>
      </c>
      <c r="U45" s="49">
        <v>0</v>
      </c>
      <c r="V45" s="49">
        <v>1</v>
      </c>
      <c r="W45" s="49" t="s">
        <v>546</v>
      </c>
      <c r="X45" s="49" t="s">
        <v>547</v>
      </c>
      <c r="Y45" s="49">
        <v>60053</v>
      </c>
      <c r="Z45" s="50">
        <v>60103</v>
      </c>
      <c r="AA45" s="49">
        <v>60054</v>
      </c>
      <c r="AB45" s="49">
        <v>60055</v>
      </c>
      <c r="AC45" s="49">
        <v>60100</v>
      </c>
      <c r="AD45" s="49">
        <v>60101</v>
      </c>
      <c r="AE45" s="49">
        <v>8</v>
      </c>
      <c r="AF45" s="49">
        <v>8</v>
      </c>
      <c r="AG45" s="49">
        <v>6</v>
      </c>
      <c r="AH45" s="49">
        <v>10601</v>
      </c>
      <c r="AI45" s="49" t="s">
        <v>526</v>
      </c>
      <c r="AJ45" s="49" t="s">
        <v>267</v>
      </c>
    </row>
    <row r="46" spans="1:36">
      <c r="A46" s="58">
        <v>10701</v>
      </c>
      <c r="B46" s="58">
        <v>10700</v>
      </c>
      <c r="C46" s="58" t="s">
        <v>256</v>
      </c>
      <c r="D46" s="58">
        <v>1</v>
      </c>
      <c r="E46" s="59">
        <v>280</v>
      </c>
      <c r="F46" s="58">
        <v>3</v>
      </c>
      <c r="G46" s="58" t="s">
        <v>543</v>
      </c>
      <c r="H46" s="58" t="s">
        <v>528</v>
      </c>
      <c r="I46" s="58">
        <v>1</v>
      </c>
      <c r="J46" s="58">
        <v>27000</v>
      </c>
      <c r="K46" s="58">
        <v>720</v>
      </c>
      <c r="L46" s="58">
        <v>0</v>
      </c>
      <c r="M46" s="58">
        <v>7</v>
      </c>
      <c r="N46" s="58">
        <v>0</v>
      </c>
      <c r="O46" s="58">
        <v>0</v>
      </c>
      <c r="P46" s="49">
        <v>300</v>
      </c>
      <c r="Q46" s="49">
        <v>3</v>
      </c>
      <c r="R46" s="49">
        <v>50</v>
      </c>
      <c r="S46" s="49">
        <v>15</v>
      </c>
      <c r="T46" s="49">
        <v>0</v>
      </c>
      <c r="U46" s="49">
        <v>0</v>
      </c>
      <c r="V46" s="49">
        <v>1</v>
      </c>
      <c r="W46" s="49" t="s">
        <v>548</v>
      </c>
      <c r="X46" s="49" t="s">
        <v>549</v>
      </c>
      <c r="Y46" s="49">
        <v>60056</v>
      </c>
      <c r="Z46" s="50">
        <v>60102</v>
      </c>
      <c r="AA46" s="49">
        <v>60057</v>
      </c>
      <c r="AB46" s="49">
        <v>60058</v>
      </c>
      <c r="AC46" s="49">
        <v>0</v>
      </c>
      <c r="AD46" s="49">
        <v>0</v>
      </c>
      <c r="AE46" s="49">
        <v>8</v>
      </c>
      <c r="AF46" s="49">
        <v>8</v>
      </c>
      <c r="AG46" s="49">
        <v>8</v>
      </c>
      <c r="AH46" s="49">
        <v>10701</v>
      </c>
      <c r="AI46" s="49" t="s">
        <v>526</v>
      </c>
      <c r="AJ46" s="49" t="s">
        <v>267</v>
      </c>
    </row>
    <row r="47" spans="1:36">
      <c r="A47" s="58">
        <v>10702</v>
      </c>
      <c r="B47" s="58">
        <v>10700</v>
      </c>
      <c r="C47" s="58" t="s">
        <v>256</v>
      </c>
      <c r="D47" s="58">
        <v>2</v>
      </c>
      <c r="E47" s="59">
        <v>320</v>
      </c>
      <c r="F47" s="58">
        <v>3</v>
      </c>
      <c r="G47" s="58" t="s">
        <v>543</v>
      </c>
      <c r="H47" s="58" t="s">
        <v>528</v>
      </c>
      <c r="I47" s="58">
        <v>1</v>
      </c>
      <c r="J47" s="58">
        <v>50000</v>
      </c>
      <c r="K47" s="58">
        <v>2880</v>
      </c>
      <c r="L47" s="58">
        <v>0</v>
      </c>
      <c r="M47" s="58">
        <v>8</v>
      </c>
      <c r="N47" s="58">
        <v>0</v>
      </c>
      <c r="O47" s="58">
        <v>0</v>
      </c>
      <c r="P47" s="49">
        <v>800</v>
      </c>
      <c r="Q47" s="49">
        <v>3</v>
      </c>
      <c r="R47" s="49">
        <v>80</v>
      </c>
      <c r="S47" s="49">
        <v>40</v>
      </c>
      <c r="T47" s="49">
        <v>0</v>
      </c>
      <c r="U47" s="49">
        <v>0</v>
      </c>
      <c r="V47" s="49">
        <v>1</v>
      </c>
      <c r="W47" s="49" t="s">
        <v>548</v>
      </c>
      <c r="X47" s="49" t="s">
        <v>549</v>
      </c>
      <c r="Y47" s="49">
        <v>60056</v>
      </c>
      <c r="Z47" s="50">
        <v>60102</v>
      </c>
      <c r="AA47" s="49">
        <v>60057</v>
      </c>
      <c r="AB47" s="49">
        <v>60058</v>
      </c>
      <c r="AC47" s="49">
        <v>0</v>
      </c>
      <c r="AD47" s="49">
        <v>0</v>
      </c>
      <c r="AE47" s="49">
        <v>8</v>
      </c>
      <c r="AF47" s="49">
        <v>8</v>
      </c>
      <c r="AG47" s="49">
        <v>8</v>
      </c>
      <c r="AH47" s="49">
        <v>10701</v>
      </c>
      <c r="AI47" s="49" t="s">
        <v>526</v>
      </c>
      <c r="AJ47" s="49" t="s">
        <v>267</v>
      </c>
    </row>
    <row r="48" spans="1:36">
      <c r="A48" s="58">
        <v>10703</v>
      </c>
      <c r="B48" s="58">
        <v>10700</v>
      </c>
      <c r="C48" s="58" t="s">
        <v>256</v>
      </c>
      <c r="D48" s="58">
        <v>3</v>
      </c>
      <c r="E48" s="59">
        <v>360</v>
      </c>
      <c r="F48" s="58">
        <v>3</v>
      </c>
      <c r="G48" s="58" t="s">
        <v>543</v>
      </c>
      <c r="H48" s="58" t="s">
        <v>528</v>
      </c>
      <c r="I48" s="58">
        <v>1</v>
      </c>
      <c r="J48" s="58">
        <v>170000</v>
      </c>
      <c r="K48" s="58">
        <v>5760</v>
      </c>
      <c r="L48" s="58">
        <v>0</v>
      </c>
      <c r="M48" s="58">
        <v>9</v>
      </c>
      <c r="N48" s="58">
        <v>0</v>
      </c>
      <c r="O48" s="58">
        <v>0</v>
      </c>
      <c r="P48" s="49">
        <v>1300</v>
      </c>
      <c r="Q48" s="49">
        <v>3</v>
      </c>
      <c r="R48" s="49">
        <v>110</v>
      </c>
      <c r="S48" s="49">
        <v>65</v>
      </c>
      <c r="T48" s="49">
        <v>0</v>
      </c>
      <c r="U48" s="49">
        <v>0</v>
      </c>
      <c r="V48" s="49">
        <v>1</v>
      </c>
      <c r="W48" s="49" t="s">
        <v>548</v>
      </c>
      <c r="X48" s="49" t="s">
        <v>549</v>
      </c>
      <c r="Y48" s="49">
        <v>60056</v>
      </c>
      <c r="Z48" s="50">
        <v>60102</v>
      </c>
      <c r="AA48" s="49">
        <v>60057</v>
      </c>
      <c r="AB48" s="49">
        <v>60058</v>
      </c>
      <c r="AC48" s="49">
        <v>0</v>
      </c>
      <c r="AD48" s="49">
        <v>0</v>
      </c>
      <c r="AE48" s="49">
        <v>8</v>
      </c>
      <c r="AF48" s="49">
        <v>8</v>
      </c>
      <c r="AG48" s="49">
        <v>8</v>
      </c>
      <c r="AH48" s="49">
        <v>10701</v>
      </c>
      <c r="AI48" s="49" t="s">
        <v>526</v>
      </c>
      <c r="AJ48" s="49" t="s">
        <v>267</v>
      </c>
    </row>
    <row r="49" spans="1:36">
      <c r="A49" s="58">
        <v>10704</v>
      </c>
      <c r="B49" s="58">
        <v>10700</v>
      </c>
      <c r="C49" s="58" t="s">
        <v>256</v>
      </c>
      <c r="D49" s="58">
        <v>4</v>
      </c>
      <c r="E49" s="59">
        <v>400</v>
      </c>
      <c r="F49" s="58">
        <v>3</v>
      </c>
      <c r="G49" s="58" t="s">
        <v>543</v>
      </c>
      <c r="H49" s="58" t="s">
        <v>528</v>
      </c>
      <c r="I49" s="58">
        <v>1</v>
      </c>
      <c r="J49" s="58">
        <v>0</v>
      </c>
      <c r="K49" s="58">
        <v>0</v>
      </c>
      <c r="L49" s="58">
        <v>0</v>
      </c>
      <c r="M49" s="58">
        <v>10</v>
      </c>
      <c r="N49" s="58">
        <v>0</v>
      </c>
      <c r="O49" s="58">
        <v>0</v>
      </c>
      <c r="P49" s="49">
        <v>2000</v>
      </c>
      <c r="Q49" s="49">
        <v>3</v>
      </c>
      <c r="R49" s="49">
        <v>180</v>
      </c>
      <c r="S49" s="49">
        <v>100</v>
      </c>
      <c r="T49" s="49">
        <v>0</v>
      </c>
      <c r="U49" s="49">
        <v>0</v>
      </c>
      <c r="V49" s="49">
        <v>1</v>
      </c>
      <c r="W49" s="49" t="s">
        <v>548</v>
      </c>
      <c r="X49" s="49" t="s">
        <v>549</v>
      </c>
      <c r="Y49" s="49">
        <v>60056</v>
      </c>
      <c r="Z49" s="50">
        <v>60102</v>
      </c>
      <c r="AA49" s="49">
        <v>60057</v>
      </c>
      <c r="AB49" s="49">
        <v>60058</v>
      </c>
      <c r="AC49" s="49">
        <v>0</v>
      </c>
      <c r="AD49" s="49">
        <v>0</v>
      </c>
      <c r="AE49" s="49">
        <v>8</v>
      </c>
      <c r="AF49" s="49">
        <v>8</v>
      </c>
      <c r="AG49" s="49">
        <v>8</v>
      </c>
      <c r="AH49" s="49">
        <v>10701</v>
      </c>
      <c r="AI49" s="49" t="s">
        <v>526</v>
      </c>
      <c r="AJ49" s="49" t="s">
        <v>267</v>
      </c>
    </row>
    <row r="50" spans="1:36">
      <c r="A50" s="58">
        <v>10801</v>
      </c>
      <c r="B50" s="58">
        <v>10800</v>
      </c>
      <c r="C50" s="58" t="s">
        <v>481</v>
      </c>
      <c r="D50" s="58">
        <v>1</v>
      </c>
      <c r="E50" s="59">
        <v>216</v>
      </c>
      <c r="F50" s="58">
        <v>3</v>
      </c>
      <c r="G50" s="58" t="s">
        <v>550</v>
      </c>
      <c r="H50" s="58" t="s">
        <v>528</v>
      </c>
      <c r="I50" s="58">
        <v>2</v>
      </c>
      <c r="J50" s="58">
        <v>500</v>
      </c>
      <c r="K50" s="58">
        <v>1</v>
      </c>
      <c r="L50" s="58">
        <v>0</v>
      </c>
      <c r="M50" s="58">
        <v>2</v>
      </c>
      <c r="N50" s="58">
        <v>1000</v>
      </c>
      <c r="O50" s="58">
        <v>0</v>
      </c>
      <c r="P50" s="49">
        <v>0</v>
      </c>
      <c r="Q50" s="49">
        <v>0</v>
      </c>
      <c r="R50" s="49">
        <v>0</v>
      </c>
      <c r="S50" s="49">
        <v>0</v>
      </c>
      <c r="T50" s="49">
        <v>0</v>
      </c>
      <c r="U50" s="49">
        <v>0</v>
      </c>
      <c r="V50" s="49">
        <v>1</v>
      </c>
      <c r="W50" s="49" t="s">
        <v>551</v>
      </c>
      <c r="X50" s="49" t="s">
        <v>552</v>
      </c>
      <c r="Y50" s="49">
        <v>60059</v>
      </c>
      <c r="Z50" s="51">
        <v>0</v>
      </c>
      <c r="AA50" s="49">
        <v>0</v>
      </c>
      <c r="AB50" s="49">
        <v>60060</v>
      </c>
      <c r="AC50" s="49">
        <v>0</v>
      </c>
      <c r="AD50" s="49">
        <v>0</v>
      </c>
      <c r="AE50" s="49">
        <v>1</v>
      </c>
      <c r="AF50" s="49">
        <v>0</v>
      </c>
      <c r="AG50" s="49">
        <v>1</v>
      </c>
      <c r="AH50" s="49">
        <v>10801</v>
      </c>
      <c r="AI50" s="49" t="s">
        <v>526</v>
      </c>
      <c r="AJ50" s="49" t="s">
        <v>267</v>
      </c>
    </row>
    <row r="51" spans="1:36">
      <c r="A51" s="58">
        <v>10802</v>
      </c>
      <c r="B51" s="58">
        <v>10800</v>
      </c>
      <c r="C51" s="58" t="s">
        <v>481</v>
      </c>
      <c r="D51" s="58">
        <v>2</v>
      </c>
      <c r="E51" s="59">
        <v>288</v>
      </c>
      <c r="F51" s="58">
        <v>3</v>
      </c>
      <c r="G51" s="58" t="s">
        <v>550</v>
      </c>
      <c r="H51" s="58" t="s">
        <v>528</v>
      </c>
      <c r="I51" s="58">
        <v>2</v>
      </c>
      <c r="J51" s="58">
        <v>2000</v>
      </c>
      <c r="K51" s="58">
        <v>60</v>
      </c>
      <c r="L51" s="58">
        <v>0</v>
      </c>
      <c r="M51" s="58">
        <v>4</v>
      </c>
      <c r="N51" s="58">
        <v>8000</v>
      </c>
      <c r="O51" s="58">
        <v>0</v>
      </c>
      <c r="P51" s="49">
        <v>0</v>
      </c>
      <c r="Q51" s="49">
        <v>0</v>
      </c>
      <c r="R51" s="49">
        <v>0</v>
      </c>
      <c r="S51" s="49">
        <v>0</v>
      </c>
      <c r="T51" s="49">
        <v>0</v>
      </c>
      <c r="U51" s="49">
        <v>0</v>
      </c>
      <c r="V51" s="49">
        <v>1</v>
      </c>
      <c r="W51" s="49" t="s">
        <v>551</v>
      </c>
      <c r="X51" s="49" t="s">
        <v>552</v>
      </c>
      <c r="Y51" s="49">
        <v>60059</v>
      </c>
      <c r="Z51" s="51">
        <v>0</v>
      </c>
      <c r="AA51" s="49">
        <v>0</v>
      </c>
      <c r="AB51" s="49">
        <v>60060</v>
      </c>
      <c r="AC51" s="49">
        <v>0</v>
      </c>
      <c r="AD51" s="49">
        <v>0</v>
      </c>
      <c r="AE51" s="49">
        <v>2</v>
      </c>
      <c r="AF51" s="49">
        <v>0</v>
      </c>
      <c r="AG51" s="49">
        <v>1</v>
      </c>
      <c r="AH51" s="49">
        <v>10801</v>
      </c>
      <c r="AI51" s="49" t="s">
        <v>526</v>
      </c>
      <c r="AJ51" s="49" t="s">
        <v>267</v>
      </c>
    </row>
    <row r="52" spans="1:36">
      <c r="A52" s="58">
        <v>10803</v>
      </c>
      <c r="B52" s="58">
        <v>10800</v>
      </c>
      <c r="C52" s="58" t="s">
        <v>481</v>
      </c>
      <c r="D52" s="58">
        <v>3</v>
      </c>
      <c r="E52" s="59">
        <v>324</v>
      </c>
      <c r="F52" s="58">
        <v>3</v>
      </c>
      <c r="G52" s="58" t="s">
        <v>550</v>
      </c>
      <c r="H52" s="58" t="s">
        <v>528</v>
      </c>
      <c r="I52" s="58">
        <v>2</v>
      </c>
      <c r="J52" s="58">
        <v>7000</v>
      </c>
      <c r="K52" s="58">
        <v>120</v>
      </c>
      <c r="L52" s="58">
        <v>0</v>
      </c>
      <c r="M52" s="58">
        <v>5</v>
      </c>
      <c r="N52" s="58">
        <v>15000</v>
      </c>
      <c r="O52" s="58">
        <v>0</v>
      </c>
      <c r="P52" s="49">
        <v>0</v>
      </c>
      <c r="Q52" s="49">
        <v>0</v>
      </c>
      <c r="R52" s="49">
        <v>0</v>
      </c>
      <c r="S52" s="49">
        <v>0</v>
      </c>
      <c r="T52" s="49">
        <v>0</v>
      </c>
      <c r="U52" s="49">
        <v>0</v>
      </c>
      <c r="V52" s="49">
        <v>1</v>
      </c>
      <c r="W52" s="49" t="s">
        <v>551</v>
      </c>
      <c r="X52" s="49" t="s">
        <v>552</v>
      </c>
      <c r="Y52" s="49">
        <v>60059</v>
      </c>
      <c r="Z52" s="51">
        <v>0</v>
      </c>
      <c r="AA52" s="49">
        <v>0</v>
      </c>
      <c r="AB52" s="49">
        <v>60060</v>
      </c>
      <c r="AC52" s="49">
        <v>0</v>
      </c>
      <c r="AD52" s="49">
        <v>0</v>
      </c>
      <c r="AE52" s="49">
        <v>3</v>
      </c>
      <c r="AF52" s="49">
        <v>0</v>
      </c>
      <c r="AG52" s="49">
        <v>1</v>
      </c>
      <c r="AH52" s="49">
        <v>10801</v>
      </c>
      <c r="AI52" s="49" t="s">
        <v>526</v>
      </c>
      <c r="AJ52" s="49" t="s">
        <v>267</v>
      </c>
    </row>
    <row r="53" spans="1:36">
      <c r="A53" s="58">
        <v>10804</v>
      </c>
      <c r="B53" s="58">
        <v>10800</v>
      </c>
      <c r="C53" s="58" t="s">
        <v>481</v>
      </c>
      <c r="D53" s="58">
        <v>4</v>
      </c>
      <c r="E53" s="59">
        <v>432</v>
      </c>
      <c r="F53" s="58">
        <v>3</v>
      </c>
      <c r="G53" s="58" t="s">
        <v>550</v>
      </c>
      <c r="H53" s="58" t="s">
        <v>528</v>
      </c>
      <c r="I53" s="58">
        <v>2</v>
      </c>
      <c r="J53" s="58">
        <v>50000</v>
      </c>
      <c r="K53" s="58">
        <v>720</v>
      </c>
      <c r="L53" s="58">
        <v>0</v>
      </c>
      <c r="M53" s="58">
        <v>7</v>
      </c>
      <c r="N53" s="58">
        <v>36000</v>
      </c>
      <c r="O53" s="58">
        <v>0</v>
      </c>
      <c r="P53" s="49">
        <v>0</v>
      </c>
      <c r="Q53" s="49">
        <v>0</v>
      </c>
      <c r="R53" s="49">
        <v>0</v>
      </c>
      <c r="S53" s="49">
        <v>0</v>
      </c>
      <c r="T53" s="49">
        <v>0</v>
      </c>
      <c r="U53" s="49">
        <v>0</v>
      </c>
      <c r="V53" s="49">
        <v>1</v>
      </c>
      <c r="W53" s="49" t="s">
        <v>551</v>
      </c>
      <c r="X53" s="49" t="s">
        <v>552</v>
      </c>
      <c r="Y53" s="49">
        <v>60059</v>
      </c>
      <c r="Z53" s="51">
        <v>0</v>
      </c>
      <c r="AA53" s="49">
        <v>0</v>
      </c>
      <c r="AB53" s="49">
        <v>60060</v>
      </c>
      <c r="AC53" s="49">
        <v>0</v>
      </c>
      <c r="AD53" s="49">
        <v>0</v>
      </c>
      <c r="AE53" s="49">
        <v>4</v>
      </c>
      <c r="AF53" s="49">
        <v>0</v>
      </c>
      <c r="AG53" s="49">
        <v>1</v>
      </c>
      <c r="AH53" s="49">
        <v>10801</v>
      </c>
      <c r="AI53" s="49" t="s">
        <v>526</v>
      </c>
      <c r="AJ53" s="49" t="s">
        <v>267</v>
      </c>
    </row>
    <row r="54" spans="1:36">
      <c r="A54" s="58">
        <v>10805</v>
      </c>
      <c r="B54" s="58">
        <v>10800</v>
      </c>
      <c r="C54" s="58" t="s">
        <v>481</v>
      </c>
      <c r="D54" s="58">
        <v>5</v>
      </c>
      <c r="E54" s="59">
        <v>504</v>
      </c>
      <c r="F54" s="58">
        <v>3</v>
      </c>
      <c r="G54" s="58" t="s">
        <v>550</v>
      </c>
      <c r="H54" s="58" t="s">
        <v>528</v>
      </c>
      <c r="I54" s="58">
        <v>2</v>
      </c>
      <c r="J54" s="58">
        <v>100000</v>
      </c>
      <c r="K54" s="58">
        <v>2160</v>
      </c>
      <c r="L54" s="58">
        <v>0</v>
      </c>
      <c r="M54" s="58">
        <v>9</v>
      </c>
      <c r="N54" s="58">
        <v>60000</v>
      </c>
      <c r="O54" s="58">
        <v>0</v>
      </c>
      <c r="P54" s="49">
        <v>0</v>
      </c>
      <c r="Q54" s="49">
        <v>0</v>
      </c>
      <c r="R54" s="49">
        <v>0</v>
      </c>
      <c r="S54" s="49">
        <v>0</v>
      </c>
      <c r="T54" s="49">
        <v>0</v>
      </c>
      <c r="U54" s="49">
        <v>0</v>
      </c>
      <c r="V54" s="49">
        <v>1</v>
      </c>
      <c r="W54" s="49" t="s">
        <v>551</v>
      </c>
      <c r="X54" s="49" t="s">
        <v>552</v>
      </c>
      <c r="Y54" s="49">
        <v>60059</v>
      </c>
      <c r="Z54" s="51">
        <v>0</v>
      </c>
      <c r="AA54" s="49">
        <v>0</v>
      </c>
      <c r="AB54" s="49">
        <v>60060</v>
      </c>
      <c r="AC54" s="49">
        <v>0</v>
      </c>
      <c r="AD54" s="49">
        <v>0</v>
      </c>
      <c r="AE54" s="49">
        <v>5</v>
      </c>
      <c r="AF54" s="49">
        <v>0</v>
      </c>
      <c r="AG54" s="49">
        <v>1</v>
      </c>
      <c r="AH54" s="49">
        <v>10801</v>
      </c>
      <c r="AI54" s="49" t="s">
        <v>526</v>
      </c>
      <c r="AJ54" s="49" t="s">
        <v>267</v>
      </c>
    </row>
    <row r="55" spans="1:36">
      <c r="A55" s="58">
        <v>10806</v>
      </c>
      <c r="B55" s="58">
        <v>10800</v>
      </c>
      <c r="C55" s="58" t="s">
        <v>481</v>
      </c>
      <c r="D55" s="58">
        <v>6</v>
      </c>
      <c r="E55" s="59">
        <v>648</v>
      </c>
      <c r="F55" s="58">
        <v>3</v>
      </c>
      <c r="G55" s="58" t="s">
        <v>550</v>
      </c>
      <c r="H55" s="58" t="s">
        <v>528</v>
      </c>
      <c r="I55" s="58">
        <v>2</v>
      </c>
      <c r="J55" s="58">
        <v>0</v>
      </c>
      <c r="K55" s="58">
        <v>0</v>
      </c>
      <c r="L55" s="58">
        <v>0</v>
      </c>
      <c r="M55" s="58">
        <v>10</v>
      </c>
      <c r="N55" s="58">
        <v>80000</v>
      </c>
      <c r="O55" s="58">
        <v>0</v>
      </c>
      <c r="P55" s="49">
        <v>0</v>
      </c>
      <c r="Q55" s="49">
        <v>0</v>
      </c>
      <c r="R55" s="49">
        <v>0</v>
      </c>
      <c r="S55" s="49">
        <v>0</v>
      </c>
      <c r="T55" s="49">
        <v>0</v>
      </c>
      <c r="U55" s="49">
        <v>0</v>
      </c>
      <c r="V55" s="49">
        <v>1</v>
      </c>
      <c r="W55" s="49" t="s">
        <v>551</v>
      </c>
      <c r="X55" s="49" t="s">
        <v>552</v>
      </c>
      <c r="Y55" s="49">
        <v>60059</v>
      </c>
      <c r="Z55" s="51">
        <v>0</v>
      </c>
      <c r="AA55" s="49">
        <v>0</v>
      </c>
      <c r="AB55" s="49">
        <v>60060</v>
      </c>
      <c r="AC55" s="49">
        <v>0</v>
      </c>
      <c r="AD55" s="49">
        <v>0</v>
      </c>
      <c r="AE55" s="49">
        <v>6</v>
      </c>
      <c r="AF55" s="49">
        <v>0</v>
      </c>
      <c r="AG55" s="49">
        <v>1</v>
      </c>
      <c r="AH55" s="49">
        <v>10801</v>
      </c>
      <c r="AI55" s="49" t="s">
        <v>526</v>
      </c>
      <c r="AJ55" s="49" t="s">
        <v>267</v>
      </c>
    </row>
    <row r="56" spans="1:36">
      <c r="A56" s="58">
        <v>10901</v>
      </c>
      <c r="B56" s="58">
        <v>10900</v>
      </c>
      <c r="C56" s="58" t="s">
        <v>482</v>
      </c>
      <c r="D56" s="58">
        <v>1</v>
      </c>
      <c r="E56" s="59">
        <v>216</v>
      </c>
      <c r="F56" s="58">
        <v>3</v>
      </c>
      <c r="G56" s="58" t="s">
        <v>550</v>
      </c>
      <c r="H56" s="58" t="s">
        <v>528</v>
      </c>
      <c r="I56" s="58">
        <v>1</v>
      </c>
      <c r="J56" s="58">
        <v>500</v>
      </c>
      <c r="K56" s="58">
        <v>1</v>
      </c>
      <c r="L56" s="58">
        <v>0</v>
      </c>
      <c r="M56" s="58">
        <v>2</v>
      </c>
      <c r="N56" s="58">
        <v>0</v>
      </c>
      <c r="O56" s="58">
        <v>1000</v>
      </c>
      <c r="P56" s="49">
        <v>0</v>
      </c>
      <c r="Q56" s="49">
        <v>0</v>
      </c>
      <c r="R56" s="49">
        <v>0</v>
      </c>
      <c r="S56" s="49">
        <v>0</v>
      </c>
      <c r="T56" s="49">
        <v>0</v>
      </c>
      <c r="U56" s="49">
        <v>0</v>
      </c>
      <c r="V56" s="49">
        <v>1</v>
      </c>
      <c r="W56" s="49" t="s">
        <v>553</v>
      </c>
      <c r="X56" s="49" t="s">
        <v>554</v>
      </c>
      <c r="Y56" s="49">
        <v>60061</v>
      </c>
      <c r="Z56" s="51">
        <v>0</v>
      </c>
      <c r="AA56" s="49">
        <v>0</v>
      </c>
      <c r="AB56" s="49">
        <v>60062</v>
      </c>
      <c r="AC56" s="49">
        <v>0</v>
      </c>
      <c r="AD56" s="49">
        <v>0</v>
      </c>
      <c r="AE56" s="49">
        <v>1</v>
      </c>
      <c r="AF56" s="49">
        <v>0</v>
      </c>
      <c r="AG56" s="49">
        <v>1</v>
      </c>
      <c r="AH56" s="49">
        <v>10901</v>
      </c>
      <c r="AI56" s="49" t="s">
        <v>526</v>
      </c>
      <c r="AJ56" s="49" t="s">
        <v>267</v>
      </c>
    </row>
    <row r="57" spans="1:36">
      <c r="A57" s="58">
        <v>10902</v>
      </c>
      <c r="B57" s="58">
        <v>10900</v>
      </c>
      <c r="C57" s="58" t="s">
        <v>482</v>
      </c>
      <c r="D57" s="58">
        <v>2</v>
      </c>
      <c r="E57" s="59">
        <v>288</v>
      </c>
      <c r="F57" s="58">
        <v>3</v>
      </c>
      <c r="G57" s="58" t="s">
        <v>550</v>
      </c>
      <c r="H57" s="58" t="s">
        <v>528</v>
      </c>
      <c r="I57" s="58">
        <v>1</v>
      </c>
      <c r="J57" s="58">
        <v>2000</v>
      </c>
      <c r="K57" s="58">
        <v>60</v>
      </c>
      <c r="L57" s="58">
        <v>0</v>
      </c>
      <c r="M57" s="58">
        <v>4</v>
      </c>
      <c r="N57" s="58">
        <v>0</v>
      </c>
      <c r="O57" s="58">
        <v>8000</v>
      </c>
      <c r="P57" s="49">
        <v>0</v>
      </c>
      <c r="Q57" s="49">
        <v>0</v>
      </c>
      <c r="R57" s="49">
        <v>0</v>
      </c>
      <c r="S57" s="49">
        <v>0</v>
      </c>
      <c r="T57" s="49">
        <v>0</v>
      </c>
      <c r="U57" s="49">
        <v>0</v>
      </c>
      <c r="V57" s="49">
        <v>1</v>
      </c>
      <c r="W57" s="49" t="s">
        <v>553</v>
      </c>
      <c r="X57" s="49" t="s">
        <v>554</v>
      </c>
      <c r="Y57" s="49">
        <v>60061</v>
      </c>
      <c r="Z57" s="51">
        <v>0</v>
      </c>
      <c r="AA57" s="49">
        <v>0</v>
      </c>
      <c r="AB57" s="49">
        <v>60062</v>
      </c>
      <c r="AC57" s="49">
        <v>0</v>
      </c>
      <c r="AD57" s="49">
        <v>0</v>
      </c>
      <c r="AE57" s="49">
        <v>2</v>
      </c>
      <c r="AF57" s="49">
        <v>0</v>
      </c>
      <c r="AG57" s="49">
        <v>2</v>
      </c>
      <c r="AH57" s="49">
        <v>10901</v>
      </c>
      <c r="AI57" s="49" t="s">
        <v>526</v>
      </c>
      <c r="AJ57" s="49" t="s">
        <v>267</v>
      </c>
    </row>
    <row r="58" spans="1:36">
      <c r="A58" s="58">
        <v>10903</v>
      </c>
      <c r="B58" s="58">
        <v>10900</v>
      </c>
      <c r="C58" s="58" t="s">
        <v>482</v>
      </c>
      <c r="D58" s="58">
        <v>3</v>
      </c>
      <c r="E58" s="59">
        <v>324</v>
      </c>
      <c r="F58" s="58">
        <v>3</v>
      </c>
      <c r="G58" s="58" t="s">
        <v>550</v>
      </c>
      <c r="H58" s="58" t="s">
        <v>528</v>
      </c>
      <c r="I58" s="58">
        <v>1</v>
      </c>
      <c r="J58" s="58">
        <v>7000</v>
      </c>
      <c r="K58" s="58">
        <v>120</v>
      </c>
      <c r="L58" s="58">
        <v>0</v>
      </c>
      <c r="M58" s="58">
        <v>5</v>
      </c>
      <c r="N58" s="58">
        <v>0</v>
      </c>
      <c r="O58" s="58">
        <v>15000</v>
      </c>
      <c r="P58" s="49">
        <v>0</v>
      </c>
      <c r="Q58" s="49">
        <v>0</v>
      </c>
      <c r="R58" s="49">
        <v>0</v>
      </c>
      <c r="S58" s="49">
        <v>0</v>
      </c>
      <c r="T58" s="49">
        <v>0</v>
      </c>
      <c r="U58" s="49">
        <v>0</v>
      </c>
      <c r="V58" s="49">
        <v>1</v>
      </c>
      <c r="W58" s="49" t="s">
        <v>553</v>
      </c>
      <c r="X58" s="49" t="s">
        <v>554</v>
      </c>
      <c r="Y58" s="49">
        <v>60061</v>
      </c>
      <c r="Z58" s="51">
        <v>0</v>
      </c>
      <c r="AA58" s="49">
        <v>0</v>
      </c>
      <c r="AB58" s="49">
        <v>60062</v>
      </c>
      <c r="AC58" s="49">
        <v>0</v>
      </c>
      <c r="AD58" s="49">
        <v>0</v>
      </c>
      <c r="AE58" s="49">
        <v>3</v>
      </c>
      <c r="AF58" s="49">
        <v>0</v>
      </c>
      <c r="AG58" s="49">
        <v>3</v>
      </c>
      <c r="AH58" s="49">
        <v>10901</v>
      </c>
      <c r="AI58" s="49" t="s">
        <v>526</v>
      </c>
      <c r="AJ58" s="49" t="s">
        <v>267</v>
      </c>
    </row>
    <row r="59" spans="1:36">
      <c r="A59" s="58">
        <v>10904</v>
      </c>
      <c r="B59" s="58">
        <v>10900</v>
      </c>
      <c r="C59" s="58" t="s">
        <v>482</v>
      </c>
      <c r="D59" s="58">
        <v>4</v>
      </c>
      <c r="E59" s="59">
        <v>432</v>
      </c>
      <c r="F59" s="58">
        <v>3</v>
      </c>
      <c r="G59" s="58" t="s">
        <v>550</v>
      </c>
      <c r="H59" s="58" t="s">
        <v>528</v>
      </c>
      <c r="I59" s="58">
        <v>1</v>
      </c>
      <c r="J59" s="58">
        <v>50000</v>
      </c>
      <c r="K59" s="58">
        <v>720</v>
      </c>
      <c r="L59" s="58">
        <v>0</v>
      </c>
      <c r="M59" s="58">
        <v>7</v>
      </c>
      <c r="N59" s="58">
        <v>0</v>
      </c>
      <c r="O59" s="58">
        <v>36000</v>
      </c>
      <c r="P59" s="49">
        <v>0</v>
      </c>
      <c r="Q59" s="49">
        <v>0</v>
      </c>
      <c r="R59" s="49">
        <v>0</v>
      </c>
      <c r="S59" s="49">
        <v>0</v>
      </c>
      <c r="T59" s="49">
        <v>0</v>
      </c>
      <c r="U59" s="49">
        <v>0</v>
      </c>
      <c r="V59" s="49">
        <v>1</v>
      </c>
      <c r="W59" s="49" t="s">
        <v>553</v>
      </c>
      <c r="X59" s="49" t="s">
        <v>554</v>
      </c>
      <c r="Y59" s="49">
        <v>60061</v>
      </c>
      <c r="Z59" s="51">
        <v>0</v>
      </c>
      <c r="AA59" s="49">
        <v>0</v>
      </c>
      <c r="AB59" s="49">
        <v>60062</v>
      </c>
      <c r="AC59" s="49">
        <v>0</v>
      </c>
      <c r="AD59" s="49">
        <v>0</v>
      </c>
      <c r="AE59" s="49">
        <v>4</v>
      </c>
      <c r="AF59" s="49">
        <v>0</v>
      </c>
      <c r="AG59" s="49">
        <v>4</v>
      </c>
      <c r="AH59" s="49">
        <v>10901</v>
      </c>
      <c r="AI59" s="49" t="s">
        <v>526</v>
      </c>
      <c r="AJ59" s="49" t="s">
        <v>267</v>
      </c>
    </row>
    <row r="60" spans="1:36">
      <c r="A60" s="58">
        <v>10905</v>
      </c>
      <c r="B60" s="58">
        <v>10900</v>
      </c>
      <c r="C60" s="58" t="s">
        <v>482</v>
      </c>
      <c r="D60" s="58">
        <v>5</v>
      </c>
      <c r="E60" s="59">
        <v>504</v>
      </c>
      <c r="F60" s="58">
        <v>3</v>
      </c>
      <c r="G60" s="58" t="s">
        <v>550</v>
      </c>
      <c r="H60" s="58" t="s">
        <v>528</v>
      </c>
      <c r="I60" s="58">
        <v>1</v>
      </c>
      <c r="J60" s="58">
        <v>100000</v>
      </c>
      <c r="K60" s="58">
        <v>2160</v>
      </c>
      <c r="L60" s="58">
        <v>0</v>
      </c>
      <c r="M60" s="58">
        <v>9</v>
      </c>
      <c r="N60" s="58">
        <v>0</v>
      </c>
      <c r="O60" s="58">
        <v>60000</v>
      </c>
      <c r="P60" s="49">
        <v>0</v>
      </c>
      <c r="Q60" s="49">
        <v>0</v>
      </c>
      <c r="R60" s="49">
        <v>0</v>
      </c>
      <c r="S60" s="49">
        <v>0</v>
      </c>
      <c r="T60" s="49">
        <v>0</v>
      </c>
      <c r="U60" s="49">
        <v>0</v>
      </c>
      <c r="V60" s="49">
        <v>1</v>
      </c>
      <c r="W60" s="49" t="s">
        <v>553</v>
      </c>
      <c r="X60" s="49" t="s">
        <v>554</v>
      </c>
      <c r="Y60" s="49">
        <v>60061</v>
      </c>
      <c r="Z60" s="51">
        <v>0</v>
      </c>
      <c r="AA60" s="49">
        <v>0</v>
      </c>
      <c r="AB60" s="49">
        <v>60062</v>
      </c>
      <c r="AC60" s="49">
        <v>0</v>
      </c>
      <c r="AD60" s="49">
        <v>0</v>
      </c>
      <c r="AE60" s="49">
        <v>5</v>
      </c>
      <c r="AF60" s="49">
        <v>0</v>
      </c>
      <c r="AG60" s="49">
        <v>5</v>
      </c>
      <c r="AH60" s="49">
        <v>10901</v>
      </c>
      <c r="AI60" s="49" t="s">
        <v>526</v>
      </c>
      <c r="AJ60" s="49" t="s">
        <v>267</v>
      </c>
    </row>
    <row r="61" spans="1:36">
      <c r="A61" s="58">
        <v>10906</v>
      </c>
      <c r="B61" s="58">
        <v>10900</v>
      </c>
      <c r="C61" s="58" t="s">
        <v>482</v>
      </c>
      <c r="D61" s="58">
        <v>6</v>
      </c>
      <c r="E61" s="59">
        <v>648</v>
      </c>
      <c r="F61" s="58">
        <v>3</v>
      </c>
      <c r="G61" s="58" t="s">
        <v>550</v>
      </c>
      <c r="H61" s="58" t="s">
        <v>528</v>
      </c>
      <c r="I61" s="58">
        <v>1</v>
      </c>
      <c r="J61" s="58">
        <v>0</v>
      </c>
      <c r="K61" s="58">
        <v>0</v>
      </c>
      <c r="L61" s="58">
        <v>0</v>
      </c>
      <c r="M61" s="58">
        <v>10</v>
      </c>
      <c r="N61" s="58">
        <v>0</v>
      </c>
      <c r="O61" s="58">
        <v>80000</v>
      </c>
      <c r="P61" s="49">
        <v>0</v>
      </c>
      <c r="Q61" s="49">
        <v>0</v>
      </c>
      <c r="R61" s="49">
        <v>0</v>
      </c>
      <c r="S61" s="49">
        <v>0</v>
      </c>
      <c r="T61" s="49">
        <v>0</v>
      </c>
      <c r="U61" s="49">
        <v>0</v>
      </c>
      <c r="V61" s="49">
        <v>1</v>
      </c>
      <c r="W61" s="49" t="s">
        <v>553</v>
      </c>
      <c r="X61" s="49" t="s">
        <v>554</v>
      </c>
      <c r="Y61" s="49">
        <v>60061</v>
      </c>
      <c r="Z61" s="51">
        <v>0</v>
      </c>
      <c r="AA61" s="49">
        <v>0</v>
      </c>
      <c r="AB61" s="49">
        <v>60062</v>
      </c>
      <c r="AC61" s="49">
        <v>0</v>
      </c>
      <c r="AD61" s="49">
        <v>0</v>
      </c>
      <c r="AE61" s="49">
        <v>6</v>
      </c>
      <c r="AF61" s="49">
        <v>0</v>
      </c>
      <c r="AG61" s="49">
        <v>6</v>
      </c>
      <c r="AH61" s="49">
        <v>10901</v>
      </c>
      <c r="AI61" s="49" t="s">
        <v>526</v>
      </c>
      <c r="AJ61" s="49" t="s">
        <v>267</v>
      </c>
    </row>
    <row r="62" spans="1:36">
      <c r="A62" s="58">
        <v>11001</v>
      </c>
      <c r="B62" s="58">
        <v>11000</v>
      </c>
      <c r="C62" s="58" t="s">
        <v>483</v>
      </c>
      <c r="D62" s="58">
        <v>1</v>
      </c>
      <c r="E62" s="59">
        <v>504</v>
      </c>
      <c r="F62" s="58">
        <v>3</v>
      </c>
      <c r="G62" s="58" t="s">
        <v>550</v>
      </c>
      <c r="H62" s="58" t="s">
        <v>528</v>
      </c>
      <c r="I62" s="58">
        <v>2</v>
      </c>
      <c r="J62" s="58">
        <v>40000</v>
      </c>
      <c r="K62" s="58">
        <v>480</v>
      </c>
      <c r="L62" s="58">
        <v>0</v>
      </c>
      <c r="M62" s="58">
        <v>7</v>
      </c>
      <c r="N62" s="58">
        <v>0</v>
      </c>
      <c r="O62" s="58">
        <v>0</v>
      </c>
      <c r="P62" s="49">
        <v>500</v>
      </c>
      <c r="Q62" s="49">
        <v>0</v>
      </c>
      <c r="R62" s="49">
        <v>0</v>
      </c>
      <c r="S62" s="49">
        <v>0</v>
      </c>
      <c r="T62" s="49">
        <v>0</v>
      </c>
      <c r="U62" s="49">
        <v>0</v>
      </c>
      <c r="V62" s="49">
        <v>1</v>
      </c>
      <c r="W62" s="49" t="s">
        <v>555</v>
      </c>
      <c r="X62" s="49" t="s">
        <v>556</v>
      </c>
      <c r="Y62" s="49">
        <v>60063</v>
      </c>
      <c r="Z62" s="51">
        <v>0</v>
      </c>
      <c r="AA62" s="49">
        <v>0</v>
      </c>
      <c r="AB62" s="49">
        <v>60064</v>
      </c>
      <c r="AC62" s="49">
        <v>0</v>
      </c>
      <c r="AD62" s="49">
        <v>0</v>
      </c>
      <c r="AE62" s="49">
        <v>1</v>
      </c>
      <c r="AF62" s="49">
        <v>0</v>
      </c>
      <c r="AG62" s="49">
        <v>1</v>
      </c>
      <c r="AH62" s="49">
        <v>11001</v>
      </c>
      <c r="AI62" s="49" t="s">
        <v>526</v>
      </c>
      <c r="AJ62" s="49" t="s">
        <v>267</v>
      </c>
    </row>
    <row r="63" spans="1:36">
      <c r="A63" s="58">
        <v>11002</v>
      </c>
      <c r="B63" s="58">
        <v>11000</v>
      </c>
      <c r="C63" s="58" t="s">
        <v>483</v>
      </c>
      <c r="D63" s="58">
        <v>2</v>
      </c>
      <c r="E63" s="59">
        <v>576</v>
      </c>
      <c r="F63" s="58">
        <v>3</v>
      </c>
      <c r="G63" s="58" t="s">
        <v>550</v>
      </c>
      <c r="H63" s="58" t="s">
        <v>528</v>
      </c>
      <c r="I63" s="58">
        <v>2</v>
      </c>
      <c r="J63" s="58">
        <v>90000</v>
      </c>
      <c r="K63" s="58">
        <v>2160</v>
      </c>
      <c r="L63" s="58">
        <v>0</v>
      </c>
      <c r="M63" s="58">
        <v>8</v>
      </c>
      <c r="N63" s="58">
        <v>0</v>
      </c>
      <c r="O63" s="58">
        <v>0</v>
      </c>
      <c r="P63" s="49">
        <v>1000</v>
      </c>
      <c r="Q63" s="49">
        <v>0</v>
      </c>
      <c r="R63" s="49">
        <v>0</v>
      </c>
      <c r="S63" s="49">
        <v>0</v>
      </c>
      <c r="T63" s="49">
        <v>0</v>
      </c>
      <c r="U63" s="49">
        <v>0</v>
      </c>
      <c r="V63" s="49">
        <v>1</v>
      </c>
      <c r="W63" s="49" t="s">
        <v>555</v>
      </c>
      <c r="X63" s="49" t="s">
        <v>556</v>
      </c>
      <c r="Y63" s="49">
        <v>60063</v>
      </c>
      <c r="Z63" s="51">
        <v>0</v>
      </c>
      <c r="AA63" s="49">
        <v>0</v>
      </c>
      <c r="AB63" s="49">
        <v>60064</v>
      </c>
      <c r="AC63" s="49">
        <v>0</v>
      </c>
      <c r="AD63" s="49">
        <v>0</v>
      </c>
      <c r="AE63" s="49">
        <v>2</v>
      </c>
      <c r="AF63" s="49">
        <v>0</v>
      </c>
      <c r="AG63" s="49">
        <v>2</v>
      </c>
      <c r="AH63" s="49">
        <v>11001</v>
      </c>
      <c r="AI63" s="49" t="s">
        <v>526</v>
      </c>
      <c r="AJ63" s="49" t="s">
        <v>267</v>
      </c>
    </row>
    <row r="64" spans="1:36">
      <c r="A64" s="58">
        <v>11003</v>
      </c>
      <c r="B64" s="58">
        <v>11000</v>
      </c>
      <c r="C64" s="58" t="s">
        <v>483</v>
      </c>
      <c r="D64" s="58">
        <v>3</v>
      </c>
      <c r="E64" s="59">
        <v>648</v>
      </c>
      <c r="F64" s="58">
        <v>3</v>
      </c>
      <c r="G64" s="58" t="s">
        <v>550</v>
      </c>
      <c r="H64" s="58" t="s">
        <v>528</v>
      </c>
      <c r="I64" s="58">
        <v>2</v>
      </c>
      <c r="J64" s="58">
        <v>180000</v>
      </c>
      <c r="K64" s="58">
        <v>5760</v>
      </c>
      <c r="L64" s="58">
        <v>0</v>
      </c>
      <c r="M64" s="58">
        <v>9</v>
      </c>
      <c r="N64" s="58">
        <v>0</v>
      </c>
      <c r="O64" s="58">
        <v>0</v>
      </c>
      <c r="P64" s="49">
        <v>2000</v>
      </c>
      <c r="Q64" s="49">
        <v>0</v>
      </c>
      <c r="R64" s="49">
        <v>0</v>
      </c>
      <c r="S64" s="49">
        <v>0</v>
      </c>
      <c r="T64" s="49">
        <v>0</v>
      </c>
      <c r="U64" s="49">
        <v>0</v>
      </c>
      <c r="V64" s="49">
        <v>1</v>
      </c>
      <c r="W64" s="49" t="s">
        <v>555</v>
      </c>
      <c r="X64" s="49" t="s">
        <v>556</v>
      </c>
      <c r="Y64" s="49">
        <v>60063</v>
      </c>
      <c r="Z64" s="51">
        <v>0</v>
      </c>
      <c r="AA64" s="49">
        <v>0</v>
      </c>
      <c r="AB64" s="49">
        <v>60064</v>
      </c>
      <c r="AC64" s="49">
        <v>0</v>
      </c>
      <c r="AD64" s="49">
        <v>0</v>
      </c>
      <c r="AE64" s="49">
        <v>3</v>
      </c>
      <c r="AF64" s="49">
        <v>0</v>
      </c>
      <c r="AG64" s="49">
        <v>3</v>
      </c>
      <c r="AH64" s="49">
        <v>11001</v>
      </c>
      <c r="AI64" s="49" t="s">
        <v>526</v>
      </c>
      <c r="AJ64" s="49" t="s">
        <v>267</v>
      </c>
    </row>
    <row r="65" spans="1:36">
      <c r="A65" s="58">
        <v>11004</v>
      </c>
      <c r="B65" s="58">
        <v>11000</v>
      </c>
      <c r="C65" s="58" t="s">
        <v>483</v>
      </c>
      <c r="D65" s="58">
        <v>4</v>
      </c>
      <c r="E65" s="59">
        <v>720</v>
      </c>
      <c r="F65" s="58">
        <v>3</v>
      </c>
      <c r="G65" s="58" t="s">
        <v>550</v>
      </c>
      <c r="H65" s="58" t="s">
        <v>528</v>
      </c>
      <c r="I65" s="58">
        <v>2</v>
      </c>
      <c r="J65" s="58">
        <v>0</v>
      </c>
      <c r="K65" s="58">
        <v>0</v>
      </c>
      <c r="L65" s="58">
        <v>0</v>
      </c>
      <c r="M65" s="58">
        <v>10</v>
      </c>
      <c r="N65" s="58">
        <v>0</v>
      </c>
      <c r="O65" s="58">
        <v>0</v>
      </c>
      <c r="P65" s="49">
        <v>5000</v>
      </c>
      <c r="Q65" s="49">
        <v>0</v>
      </c>
      <c r="R65" s="49">
        <v>0</v>
      </c>
      <c r="S65" s="49">
        <v>0</v>
      </c>
      <c r="T65" s="49">
        <v>0</v>
      </c>
      <c r="U65" s="49">
        <v>0</v>
      </c>
      <c r="V65" s="49">
        <v>1</v>
      </c>
      <c r="W65" s="49" t="s">
        <v>555</v>
      </c>
      <c r="X65" s="49" t="s">
        <v>556</v>
      </c>
      <c r="Y65" s="49">
        <v>60063</v>
      </c>
      <c r="Z65" s="51">
        <v>0</v>
      </c>
      <c r="AA65" s="49">
        <v>0</v>
      </c>
      <c r="AB65" s="49">
        <v>60064</v>
      </c>
      <c r="AC65" s="49">
        <v>0</v>
      </c>
      <c r="AD65" s="49">
        <v>0</v>
      </c>
      <c r="AE65" s="49">
        <v>4</v>
      </c>
      <c r="AF65" s="49">
        <v>0</v>
      </c>
      <c r="AG65" s="49">
        <v>4</v>
      </c>
      <c r="AH65" s="49">
        <v>11001</v>
      </c>
      <c r="AI65" s="49" t="s">
        <v>526</v>
      </c>
      <c r="AJ65" s="49" t="s">
        <v>267</v>
      </c>
    </row>
    <row r="66" spans="1:36">
      <c r="A66" s="58">
        <v>11101</v>
      </c>
      <c r="B66" s="58">
        <v>11100</v>
      </c>
      <c r="C66" s="58" t="s">
        <v>484</v>
      </c>
      <c r="D66" s="58">
        <v>1</v>
      </c>
      <c r="E66" s="59">
        <v>266</v>
      </c>
      <c r="F66" s="58">
        <v>3</v>
      </c>
      <c r="G66" s="58" t="s">
        <v>557</v>
      </c>
      <c r="H66" s="58" t="s">
        <v>523</v>
      </c>
      <c r="I66" s="58">
        <v>1</v>
      </c>
      <c r="J66" s="58">
        <v>10000</v>
      </c>
      <c r="K66" s="58">
        <v>120</v>
      </c>
      <c r="L66" s="58">
        <v>0</v>
      </c>
      <c r="M66" s="58">
        <v>1</v>
      </c>
      <c r="N66" s="58">
        <v>10000</v>
      </c>
      <c r="O66" s="58">
        <v>10000</v>
      </c>
      <c r="P66" s="49">
        <v>0</v>
      </c>
      <c r="Q66" s="49">
        <v>0</v>
      </c>
      <c r="R66" s="49">
        <v>0</v>
      </c>
      <c r="S66" s="49">
        <v>0</v>
      </c>
      <c r="T66" s="49">
        <v>10</v>
      </c>
      <c r="U66" s="49">
        <v>7</v>
      </c>
      <c r="V66" s="49">
        <v>1</v>
      </c>
      <c r="W66" s="49" t="s">
        <v>558</v>
      </c>
      <c r="X66" s="49" t="s">
        <v>559</v>
      </c>
      <c r="Y66" s="49">
        <v>60048</v>
      </c>
      <c r="Z66" s="51">
        <v>0</v>
      </c>
      <c r="AA66" s="49">
        <v>0</v>
      </c>
      <c r="AB66" s="49">
        <v>0</v>
      </c>
      <c r="AC66" s="49">
        <v>0</v>
      </c>
      <c r="AD66" s="49">
        <v>0</v>
      </c>
      <c r="AE66" s="49">
        <v>1</v>
      </c>
      <c r="AF66" s="49">
        <v>0</v>
      </c>
      <c r="AG66" s="49">
        <v>0</v>
      </c>
      <c r="AH66" s="49">
        <v>11101</v>
      </c>
      <c r="AI66" s="49" t="s">
        <v>526</v>
      </c>
      <c r="AJ66" s="49" t="s">
        <v>267</v>
      </c>
    </row>
    <row r="67" spans="1:36">
      <c r="A67" s="58">
        <v>11201</v>
      </c>
      <c r="B67" s="58">
        <v>11200</v>
      </c>
      <c r="C67" s="58" t="s">
        <v>485</v>
      </c>
      <c r="D67" s="58">
        <v>1</v>
      </c>
      <c r="E67" s="59">
        <v>0</v>
      </c>
      <c r="F67" s="58">
        <v>3</v>
      </c>
      <c r="G67" s="58" t="s">
        <v>560</v>
      </c>
      <c r="H67" s="58" t="s">
        <v>523</v>
      </c>
      <c r="I67" s="58">
        <v>2</v>
      </c>
      <c r="J67" s="58">
        <v>100</v>
      </c>
      <c r="K67" s="58">
        <v>30</v>
      </c>
      <c r="L67" s="58">
        <v>0</v>
      </c>
      <c r="M67" s="58">
        <v>1</v>
      </c>
      <c r="N67" s="58">
        <v>0</v>
      </c>
      <c r="O67" s="58">
        <v>0</v>
      </c>
      <c r="P67" s="49">
        <v>0</v>
      </c>
      <c r="Q67" s="49">
        <v>0</v>
      </c>
      <c r="R67" s="49">
        <v>0</v>
      </c>
      <c r="S67" s="49">
        <v>0</v>
      </c>
      <c r="T67" s="49">
        <v>6</v>
      </c>
      <c r="U67" s="49">
        <v>0</v>
      </c>
      <c r="V67" s="49">
        <v>0</v>
      </c>
      <c r="W67" s="49" t="s">
        <v>558</v>
      </c>
      <c r="X67" s="49" t="s">
        <v>561</v>
      </c>
      <c r="Y67" s="49">
        <v>0</v>
      </c>
      <c r="Z67" s="51">
        <v>0</v>
      </c>
      <c r="AA67" s="49">
        <v>0</v>
      </c>
      <c r="AB67" s="49">
        <v>0</v>
      </c>
      <c r="AC67" s="49">
        <v>0</v>
      </c>
      <c r="AD67" s="49">
        <v>0</v>
      </c>
      <c r="AE67" s="49">
        <v>1</v>
      </c>
      <c r="AF67" s="49">
        <v>1</v>
      </c>
      <c r="AG67" s="49">
        <v>0</v>
      </c>
      <c r="AH67" s="49">
        <v>11201</v>
      </c>
      <c r="AI67" s="49" t="s">
        <v>526</v>
      </c>
      <c r="AJ67" s="49" t="s">
        <v>267</v>
      </c>
    </row>
    <row r="68" spans="1:36">
      <c r="A68" s="58">
        <v>11202</v>
      </c>
      <c r="B68" s="58">
        <v>11200</v>
      </c>
      <c r="C68" s="58" t="s">
        <v>485</v>
      </c>
      <c r="D68" s="58">
        <v>2</v>
      </c>
      <c r="E68" s="59">
        <v>0</v>
      </c>
      <c r="F68" s="58">
        <v>3</v>
      </c>
      <c r="G68" s="58" t="s">
        <v>560</v>
      </c>
      <c r="H68" s="58" t="s">
        <v>523</v>
      </c>
      <c r="I68" s="58">
        <v>2</v>
      </c>
      <c r="J68" s="58">
        <v>200</v>
      </c>
      <c r="K68" s="58">
        <v>60</v>
      </c>
      <c r="L68" s="58">
        <v>0</v>
      </c>
      <c r="M68" s="58">
        <v>2</v>
      </c>
      <c r="N68" s="58">
        <v>0</v>
      </c>
      <c r="O68" s="58">
        <v>0</v>
      </c>
      <c r="P68" s="49">
        <v>0</v>
      </c>
      <c r="Q68" s="49">
        <v>0</v>
      </c>
      <c r="R68" s="49">
        <v>0</v>
      </c>
      <c r="S68" s="49">
        <v>0</v>
      </c>
      <c r="T68" s="49">
        <v>12</v>
      </c>
      <c r="U68" s="49">
        <v>0</v>
      </c>
      <c r="V68" s="49">
        <v>0</v>
      </c>
      <c r="W68" s="49" t="s">
        <v>558</v>
      </c>
      <c r="X68" s="49" t="s">
        <v>561</v>
      </c>
      <c r="Y68" s="49">
        <v>0</v>
      </c>
      <c r="Z68" s="51">
        <v>0</v>
      </c>
      <c r="AA68" s="49">
        <v>0</v>
      </c>
      <c r="AB68" s="49">
        <v>0</v>
      </c>
      <c r="AC68" s="49">
        <v>0</v>
      </c>
      <c r="AD68" s="49">
        <v>0</v>
      </c>
      <c r="AE68" s="49">
        <v>2</v>
      </c>
      <c r="AF68" s="49">
        <v>2</v>
      </c>
      <c r="AG68" s="49">
        <v>0</v>
      </c>
      <c r="AH68" s="49">
        <v>11201</v>
      </c>
      <c r="AI68" s="49" t="s">
        <v>526</v>
      </c>
      <c r="AJ68" s="49" t="s">
        <v>267</v>
      </c>
    </row>
    <row r="69" spans="1:36">
      <c r="A69" s="58">
        <v>11203</v>
      </c>
      <c r="B69" s="58">
        <v>11200</v>
      </c>
      <c r="C69" s="58" t="s">
        <v>485</v>
      </c>
      <c r="D69" s="58">
        <v>3</v>
      </c>
      <c r="E69" s="59">
        <v>0</v>
      </c>
      <c r="F69" s="58">
        <v>3</v>
      </c>
      <c r="G69" s="58" t="s">
        <v>560</v>
      </c>
      <c r="H69" s="58" t="s">
        <v>523</v>
      </c>
      <c r="I69" s="58">
        <v>2</v>
      </c>
      <c r="J69" s="58">
        <v>2500</v>
      </c>
      <c r="K69" s="58">
        <v>90</v>
      </c>
      <c r="L69" s="58">
        <v>0</v>
      </c>
      <c r="M69" s="58">
        <v>2</v>
      </c>
      <c r="N69" s="58">
        <v>0</v>
      </c>
      <c r="O69" s="58">
        <v>0</v>
      </c>
      <c r="P69" s="49">
        <v>0</v>
      </c>
      <c r="Q69" s="49">
        <v>0</v>
      </c>
      <c r="R69" s="49">
        <v>0</v>
      </c>
      <c r="S69" s="49">
        <v>0</v>
      </c>
      <c r="T69" s="49">
        <v>18</v>
      </c>
      <c r="U69" s="49">
        <v>0</v>
      </c>
      <c r="V69" s="49">
        <v>0</v>
      </c>
      <c r="W69" s="49" t="s">
        <v>558</v>
      </c>
      <c r="X69" s="49" t="s">
        <v>561</v>
      </c>
      <c r="Y69" s="49">
        <v>0</v>
      </c>
      <c r="Z69" s="51">
        <v>0</v>
      </c>
      <c r="AA69" s="49">
        <v>0</v>
      </c>
      <c r="AB69" s="49">
        <v>0</v>
      </c>
      <c r="AC69" s="49">
        <v>0</v>
      </c>
      <c r="AD69" s="49">
        <v>0</v>
      </c>
      <c r="AE69" s="49">
        <v>3</v>
      </c>
      <c r="AF69" s="49">
        <v>3</v>
      </c>
      <c r="AG69" s="49">
        <v>0</v>
      </c>
      <c r="AH69" s="49">
        <v>11201</v>
      </c>
      <c r="AI69" s="49" t="s">
        <v>526</v>
      </c>
      <c r="AJ69" s="49" t="s">
        <v>267</v>
      </c>
    </row>
    <row r="70" spans="1:36">
      <c r="A70" s="58">
        <v>11204</v>
      </c>
      <c r="B70" s="58">
        <v>11200</v>
      </c>
      <c r="C70" s="58" t="s">
        <v>485</v>
      </c>
      <c r="D70" s="58">
        <v>4</v>
      </c>
      <c r="E70" s="59">
        <v>0</v>
      </c>
      <c r="F70" s="58">
        <v>3</v>
      </c>
      <c r="G70" s="58" t="s">
        <v>560</v>
      </c>
      <c r="H70" s="58" t="s">
        <v>523</v>
      </c>
      <c r="I70" s="58">
        <v>2</v>
      </c>
      <c r="J70" s="58">
        <v>6000</v>
      </c>
      <c r="K70" s="58">
        <v>180</v>
      </c>
      <c r="L70" s="58">
        <v>0</v>
      </c>
      <c r="M70" s="58">
        <v>3</v>
      </c>
      <c r="N70" s="58">
        <v>0</v>
      </c>
      <c r="O70" s="58">
        <v>0</v>
      </c>
      <c r="P70" s="49">
        <v>0</v>
      </c>
      <c r="Q70" s="49">
        <v>0</v>
      </c>
      <c r="R70" s="49">
        <v>0</v>
      </c>
      <c r="S70" s="49">
        <v>0</v>
      </c>
      <c r="T70" s="49">
        <v>24</v>
      </c>
      <c r="U70" s="49">
        <v>0</v>
      </c>
      <c r="V70" s="49">
        <v>0</v>
      </c>
      <c r="W70" s="49" t="s">
        <v>558</v>
      </c>
      <c r="X70" s="49" t="s">
        <v>561</v>
      </c>
      <c r="Y70" s="49">
        <v>0</v>
      </c>
      <c r="Z70" s="51">
        <v>0</v>
      </c>
      <c r="AA70" s="49">
        <v>0</v>
      </c>
      <c r="AB70" s="49">
        <v>0</v>
      </c>
      <c r="AC70" s="49">
        <v>0</v>
      </c>
      <c r="AD70" s="49">
        <v>0</v>
      </c>
      <c r="AE70" s="49">
        <v>4</v>
      </c>
      <c r="AF70" s="49">
        <v>4</v>
      </c>
      <c r="AG70" s="49">
        <v>0</v>
      </c>
      <c r="AH70" s="49">
        <v>11201</v>
      </c>
      <c r="AI70" s="49" t="s">
        <v>526</v>
      </c>
      <c r="AJ70" s="49" t="s">
        <v>267</v>
      </c>
    </row>
    <row r="71" spans="1:36">
      <c r="A71" s="58">
        <v>11205</v>
      </c>
      <c r="B71" s="58">
        <v>11200</v>
      </c>
      <c r="C71" s="58" t="s">
        <v>485</v>
      </c>
      <c r="D71" s="58">
        <v>5</v>
      </c>
      <c r="E71" s="59">
        <v>0</v>
      </c>
      <c r="F71" s="58">
        <v>3</v>
      </c>
      <c r="G71" s="58" t="s">
        <v>560</v>
      </c>
      <c r="H71" s="58" t="s">
        <v>523</v>
      </c>
      <c r="I71" s="58">
        <v>2</v>
      </c>
      <c r="J71" s="58">
        <v>15000</v>
      </c>
      <c r="K71" s="58">
        <v>240</v>
      </c>
      <c r="L71" s="58">
        <v>0</v>
      </c>
      <c r="M71" s="58">
        <v>3</v>
      </c>
      <c r="N71" s="58">
        <v>0</v>
      </c>
      <c r="O71" s="58">
        <v>0</v>
      </c>
      <c r="P71" s="49">
        <v>0</v>
      </c>
      <c r="Q71" s="49">
        <v>0</v>
      </c>
      <c r="R71" s="49">
        <v>0</v>
      </c>
      <c r="S71" s="49">
        <v>0</v>
      </c>
      <c r="T71" s="49">
        <v>30</v>
      </c>
      <c r="U71" s="49">
        <v>0</v>
      </c>
      <c r="V71" s="49">
        <v>0</v>
      </c>
      <c r="W71" s="49" t="s">
        <v>558</v>
      </c>
      <c r="X71" s="49" t="s">
        <v>561</v>
      </c>
      <c r="Y71" s="49">
        <v>0</v>
      </c>
      <c r="Z71" s="51">
        <v>0</v>
      </c>
      <c r="AA71" s="49">
        <v>0</v>
      </c>
      <c r="AB71" s="49">
        <v>0</v>
      </c>
      <c r="AC71" s="49">
        <v>0</v>
      </c>
      <c r="AD71" s="49">
        <v>0</v>
      </c>
      <c r="AE71" s="49">
        <v>5</v>
      </c>
      <c r="AF71" s="49">
        <v>5</v>
      </c>
      <c r="AG71" s="49">
        <v>0</v>
      </c>
      <c r="AH71" s="49">
        <v>11201</v>
      </c>
      <c r="AI71" s="49" t="s">
        <v>526</v>
      </c>
      <c r="AJ71" s="49" t="s">
        <v>267</v>
      </c>
    </row>
    <row r="72" spans="1:36">
      <c r="A72" s="58">
        <v>11206</v>
      </c>
      <c r="B72" s="58">
        <v>11200</v>
      </c>
      <c r="C72" s="58" t="s">
        <v>485</v>
      </c>
      <c r="D72" s="58">
        <v>6</v>
      </c>
      <c r="E72" s="59">
        <v>0</v>
      </c>
      <c r="F72" s="58">
        <v>3</v>
      </c>
      <c r="G72" s="58" t="s">
        <v>560</v>
      </c>
      <c r="H72" s="58" t="s">
        <v>523</v>
      </c>
      <c r="I72" s="58">
        <v>2</v>
      </c>
      <c r="J72" s="58">
        <v>23000</v>
      </c>
      <c r="K72" s="58">
        <v>480</v>
      </c>
      <c r="L72" s="58">
        <v>0</v>
      </c>
      <c r="M72" s="58">
        <v>4</v>
      </c>
      <c r="N72" s="58">
        <v>0</v>
      </c>
      <c r="O72" s="58">
        <v>0</v>
      </c>
      <c r="P72" s="49">
        <v>0</v>
      </c>
      <c r="Q72" s="49">
        <v>0</v>
      </c>
      <c r="R72" s="49">
        <v>0</v>
      </c>
      <c r="S72" s="49">
        <v>0</v>
      </c>
      <c r="T72" s="49">
        <v>36</v>
      </c>
      <c r="U72" s="49">
        <v>0</v>
      </c>
      <c r="V72" s="49">
        <v>0</v>
      </c>
      <c r="W72" s="49" t="s">
        <v>558</v>
      </c>
      <c r="X72" s="49" t="s">
        <v>561</v>
      </c>
      <c r="Y72" s="49">
        <v>0</v>
      </c>
      <c r="Z72" s="51">
        <v>0</v>
      </c>
      <c r="AA72" s="49">
        <v>0</v>
      </c>
      <c r="AB72" s="49">
        <v>0</v>
      </c>
      <c r="AC72" s="49">
        <v>0</v>
      </c>
      <c r="AD72" s="49">
        <v>0</v>
      </c>
      <c r="AE72" s="49">
        <v>6</v>
      </c>
      <c r="AF72" s="49">
        <v>6</v>
      </c>
      <c r="AG72" s="49">
        <v>0</v>
      </c>
      <c r="AH72" s="49">
        <v>11201</v>
      </c>
      <c r="AI72" s="49" t="s">
        <v>526</v>
      </c>
      <c r="AJ72" s="49" t="s">
        <v>267</v>
      </c>
    </row>
    <row r="73" spans="1:36">
      <c r="A73" s="58">
        <v>11207</v>
      </c>
      <c r="B73" s="58">
        <v>11200</v>
      </c>
      <c r="C73" s="58" t="s">
        <v>485</v>
      </c>
      <c r="D73" s="58">
        <v>7</v>
      </c>
      <c r="E73" s="59">
        <v>0</v>
      </c>
      <c r="F73" s="58">
        <v>3</v>
      </c>
      <c r="G73" s="58" t="s">
        <v>560</v>
      </c>
      <c r="H73" s="58" t="s">
        <v>523</v>
      </c>
      <c r="I73" s="58">
        <v>2</v>
      </c>
      <c r="J73" s="58">
        <v>37000</v>
      </c>
      <c r="K73" s="58">
        <v>960</v>
      </c>
      <c r="L73" s="58">
        <v>0</v>
      </c>
      <c r="M73" s="58">
        <v>4</v>
      </c>
      <c r="N73" s="58">
        <v>0</v>
      </c>
      <c r="O73" s="58">
        <v>0</v>
      </c>
      <c r="P73" s="49">
        <v>0</v>
      </c>
      <c r="Q73" s="49">
        <v>0</v>
      </c>
      <c r="R73" s="49">
        <v>0</v>
      </c>
      <c r="S73" s="49">
        <v>0</v>
      </c>
      <c r="T73" s="49">
        <v>42</v>
      </c>
      <c r="U73" s="49">
        <v>0</v>
      </c>
      <c r="V73" s="49">
        <v>0</v>
      </c>
      <c r="W73" s="49" t="s">
        <v>558</v>
      </c>
      <c r="X73" s="49" t="s">
        <v>561</v>
      </c>
      <c r="Y73" s="49">
        <v>0</v>
      </c>
      <c r="Z73" s="51">
        <v>0</v>
      </c>
      <c r="AA73" s="49">
        <v>0</v>
      </c>
      <c r="AB73" s="49">
        <v>0</v>
      </c>
      <c r="AC73" s="49">
        <v>0</v>
      </c>
      <c r="AD73" s="49">
        <v>0</v>
      </c>
      <c r="AE73" s="49">
        <v>7</v>
      </c>
      <c r="AF73" s="49">
        <v>7</v>
      </c>
      <c r="AG73" s="49">
        <v>0</v>
      </c>
      <c r="AH73" s="49">
        <v>11201</v>
      </c>
      <c r="AI73" s="49" t="s">
        <v>526</v>
      </c>
      <c r="AJ73" s="49" t="s">
        <v>267</v>
      </c>
    </row>
    <row r="74" spans="1:36">
      <c r="A74" s="58">
        <v>11208</v>
      </c>
      <c r="B74" s="58">
        <v>11200</v>
      </c>
      <c r="C74" s="58" t="s">
        <v>485</v>
      </c>
      <c r="D74" s="58">
        <v>8</v>
      </c>
      <c r="E74" s="59">
        <v>0</v>
      </c>
      <c r="F74" s="58">
        <v>3</v>
      </c>
      <c r="G74" s="58" t="s">
        <v>560</v>
      </c>
      <c r="H74" s="58" t="s">
        <v>523</v>
      </c>
      <c r="I74" s="58">
        <v>2</v>
      </c>
      <c r="J74" s="58">
        <v>59000</v>
      </c>
      <c r="K74" s="58">
        <v>1440</v>
      </c>
      <c r="L74" s="58">
        <v>0</v>
      </c>
      <c r="M74" s="58">
        <v>5</v>
      </c>
      <c r="N74" s="58">
        <v>0</v>
      </c>
      <c r="O74" s="58">
        <v>0</v>
      </c>
      <c r="P74" s="49">
        <v>0</v>
      </c>
      <c r="Q74" s="49">
        <v>0</v>
      </c>
      <c r="R74" s="49">
        <v>0</v>
      </c>
      <c r="S74" s="49">
        <v>0</v>
      </c>
      <c r="T74" s="49">
        <v>48</v>
      </c>
      <c r="U74" s="49">
        <v>0</v>
      </c>
      <c r="V74" s="49">
        <v>0</v>
      </c>
      <c r="W74" s="49" t="s">
        <v>558</v>
      </c>
      <c r="X74" s="49" t="s">
        <v>561</v>
      </c>
      <c r="Y74" s="49">
        <v>0</v>
      </c>
      <c r="Z74" s="51">
        <v>0</v>
      </c>
      <c r="AA74" s="49">
        <v>0</v>
      </c>
      <c r="AB74" s="49">
        <v>0</v>
      </c>
      <c r="AC74" s="49">
        <v>0</v>
      </c>
      <c r="AD74" s="49">
        <v>0</v>
      </c>
      <c r="AE74" s="49">
        <v>8</v>
      </c>
      <c r="AF74" s="49">
        <v>8</v>
      </c>
      <c r="AG74" s="49">
        <v>0</v>
      </c>
      <c r="AH74" s="49">
        <v>11201</v>
      </c>
      <c r="AI74" s="49" t="s">
        <v>526</v>
      </c>
      <c r="AJ74" s="49" t="s">
        <v>267</v>
      </c>
    </row>
    <row r="75" spans="1:36">
      <c r="A75" s="58">
        <v>11209</v>
      </c>
      <c r="B75" s="58">
        <v>11200</v>
      </c>
      <c r="C75" s="58" t="s">
        <v>485</v>
      </c>
      <c r="D75" s="58">
        <v>9</v>
      </c>
      <c r="E75" s="59">
        <v>0</v>
      </c>
      <c r="F75" s="58">
        <v>3</v>
      </c>
      <c r="G75" s="58" t="s">
        <v>560</v>
      </c>
      <c r="H75" s="58" t="s">
        <v>523</v>
      </c>
      <c r="I75" s="58">
        <v>2</v>
      </c>
      <c r="J75" s="58">
        <v>100000</v>
      </c>
      <c r="K75" s="58">
        <v>1920</v>
      </c>
      <c r="L75" s="58">
        <v>0</v>
      </c>
      <c r="M75" s="58">
        <v>5</v>
      </c>
      <c r="N75" s="58">
        <v>0</v>
      </c>
      <c r="O75" s="58">
        <v>0</v>
      </c>
      <c r="P75" s="49">
        <v>0</v>
      </c>
      <c r="Q75" s="49">
        <v>0</v>
      </c>
      <c r="R75" s="49">
        <v>0</v>
      </c>
      <c r="S75" s="49">
        <v>0</v>
      </c>
      <c r="T75" s="49">
        <v>54</v>
      </c>
      <c r="U75" s="49">
        <v>0</v>
      </c>
      <c r="V75" s="49">
        <v>0</v>
      </c>
      <c r="W75" s="49" t="s">
        <v>558</v>
      </c>
      <c r="X75" s="49" t="s">
        <v>561</v>
      </c>
      <c r="Y75" s="49">
        <v>0</v>
      </c>
      <c r="Z75" s="51">
        <v>0</v>
      </c>
      <c r="AA75" s="49">
        <v>0</v>
      </c>
      <c r="AB75" s="49">
        <v>0</v>
      </c>
      <c r="AC75" s="49">
        <v>0</v>
      </c>
      <c r="AD75" s="49">
        <v>0</v>
      </c>
      <c r="AE75" s="49">
        <v>9</v>
      </c>
      <c r="AF75" s="49">
        <v>9</v>
      </c>
      <c r="AG75" s="49">
        <v>0</v>
      </c>
      <c r="AH75" s="49">
        <v>11201</v>
      </c>
      <c r="AI75" s="49" t="s">
        <v>526</v>
      </c>
      <c r="AJ75" s="49" t="s">
        <v>267</v>
      </c>
    </row>
    <row r="76" spans="1:36">
      <c r="A76" s="58">
        <v>11210</v>
      </c>
      <c r="B76" s="58">
        <v>11200</v>
      </c>
      <c r="C76" s="58" t="s">
        <v>485</v>
      </c>
      <c r="D76" s="58">
        <v>10</v>
      </c>
      <c r="E76" s="59">
        <v>0</v>
      </c>
      <c r="F76" s="58">
        <v>3</v>
      </c>
      <c r="G76" s="58" t="s">
        <v>560</v>
      </c>
      <c r="H76" s="58" t="s">
        <v>523</v>
      </c>
      <c r="I76" s="58">
        <v>2</v>
      </c>
      <c r="J76" s="58">
        <v>180000</v>
      </c>
      <c r="K76" s="58">
        <v>2880</v>
      </c>
      <c r="L76" s="58">
        <v>0</v>
      </c>
      <c r="M76" s="58">
        <v>6</v>
      </c>
      <c r="N76" s="58">
        <v>0</v>
      </c>
      <c r="O76" s="58">
        <v>0</v>
      </c>
      <c r="P76" s="49">
        <v>0</v>
      </c>
      <c r="Q76" s="49">
        <v>0</v>
      </c>
      <c r="R76" s="49">
        <v>0</v>
      </c>
      <c r="S76" s="49">
        <v>0</v>
      </c>
      <c r="T76" s="49">
        <v>60</v>
      </c>
      <c r="U76" s="49">
        <v>0</v>
      </c>
      <c r="V76" s="49">
        <v>0</v>
      </c>
      <c r="W76" s="49" t="s">
        <v>558</v>
      </c>
      <c r="X76" s="49" t="s">
        <v>561</v>
      </c>
      <c r="Y76" s="49">
        <v>0</v>
      </c>
      <c r="Z76" s="51">
        <v>0</v>
      </c>
      <c r="AA76" s="49">
        <v>0</v>
      </c>
      <c r="AB76" s="49">
        <v>0</v>
      </c>
      <c r="AC76" s="49">
        <v>0</v>
      </c>
      <c r="AD76" s="49">
        <v>0</v>
      </c>
      <c r="AE76" s="49">
        <v>10</v>
      </c>
      <c r="AF76" s="49">
        <v>10</v>
      </c>
      <c r="AG76" s="49">
        <v>0</v>
      </c>
      <c r="AH76" s="49">
        <v>11201</v>
      </c>
      <c r="AI76" s="49" t="s">
        <v>526</v>
      </c>
      <c r="AJ76" s="49" t="s">
        <v>267</v>
      </c>
    </row>
    <row r="77" spans="1:36">
      <c r="A77" s="58">
        <v>11211</v>
      </c>
      <c r="B77" s="58">
        <v>11200</v>
      </c>
      <c r="C77" s="58" t="s">
        <v>485</v>
      </c>
      <c r="D77" s="58">
        <v>11</v>
      </c>
      <c r="E77" s="59">
        <v>0</v>
      </c>
      <c r="F77" s="58">
        <v>3</v>
      </c>
      <c r="G77" s="58" t="s">
        <v>560</v>
      </c>
      <c r="H77" s="58" t="s">
        <v>523</v>
      </c>
      <c r="I77" s="58">
        <v>2</v>
      </c>
      <c r="J77" s="58">
        <v>230000</v>
      </c>
      <c r="K77" s="58">
        <v>4320</v>
      </c>
      <c r="L77" s="58">
        <v>0</v>
      </c>
      <c r="M77" s="58">
        <v>6</v>
      </c>
      <c r="N77" s="58">
        <v>0</v>
      </c>
      <c r="O77" s="58">
        <v>0</v>
      </c>
      <c r="P77" s="49">
        <v>0</v>
      </c>
      <c r="Q77" s="49">
        <v>0</v>
      </c>
      <c r="R77" s="49">
        <v>0</v>
      </c>
      <c r="S77" s="49">
        <v>0</v>
      </c>
      <c r="T77" s="49">
        <v>66</v>
      </c>
      <c r="U77" s="49">
        <v>0</v>
      </c>
      <c r="V77" s="49">
        <v>0</v>
      </c>
      <c r="W77" s="49" t="s">
        <v>558</v>
      </c>
      <c r="X77" s="49" t="s">
        <v>561</v>
      </c>
      <c r="Y77" s="49">
        <v>0</v>
      </c>
      <c r="Z77" s="51">
        <v>0</v>
      </c>
      <c r="AA77" s="49">
        <v>0</v>
      </c>
      <c r="AB77" s="49">
        <v>0</v>
      </c>
      <c r="AC77" s="49">
        <v>0</v>
      </c>
      <c r="AD77" s="49">
        <v>0</v>
      </c>
      <c r="AE77" s="49">
        <v>11</v>
      </c>
      <c r="AF77" s="49">
        <v>11</v>
      </c>
      <c r="AG77" s="49">
        <v>0</v>
      </c>
      <c r="AH77" s="49">
        <v>11201</v>
      </c>
      <c r="AI77" s="49" t="s">
        <v>526</v>
      </c>
      <c r="AJ77" s="49" t="s">
        <v>267</v>
      </c>
    </row>
    <row r="78" spans="1:36">
      <c r="A78" s="58">
        <v>11212</v>
      </c>
      <c r="B78" s="58">
        <v>11200</v>
      </c>
      <c r="C78" s="58" t="s">
        <v>485</v>
      </c>
      <c r="D78" s="58">
        <v>12</v>
      </c>
      <c r="E78" s="59">
        <v>0</v>
      </c>
      <c r="F78" s="58">
        <v>3</v>
      </c>
      <c r="G78" s="58" t="s">
        <v>560</v>
      </c>
      <c r="H78" s="58" t="s">
        <v>523</v>
      </c>
      <c r="I78" s="58">
        <v>2</v>
      </c>
      <c r="J78" s="58">
        <v>300000</v>
      </c>
      <c r="K78" s="58">
        <v>5760</v>
      </c>
      <c r="L78" s="58">
        <v>0</v>
      </c>
      <c r="M78" s="58">
        <v>7</v>
      </c>
      <c r="N78" s="58">
        <v>0</v>
      </c>
      <c r="O78" s="58">
        <v>0</v>
      </c>
      <c r="P78" s="49">
        <v>0</v>
      </c>
      <c r="Q78" s="49">
        <v>0</v>
      </c>
      <c r="R78" s="49">
        <v>0</v>
      </c>
      <c r="S78" s="49">
        <v>0</v>
      </c>
      <c r="T78" s="49">
        <v>72</v>
      </c>
      <c r="U78" s="49">
        <v>0</v>
      </c>
      <c r="V78" s="49">
        <v>0</v>
      </c>
      <c r="W78" s="49" t="s">
        <v>558</v>
      </c>
      <c r="X78" s="49" t="s">
        <v>561</v>
      </c>
      <c r="Y78" s="49">
        <v>0</v>
      </c>
      <c r="Z78" s="51">
        <v>0</v>
      </c>
      <c r="AA78" s="49">
        <v>0</v>
      </c>
      <c r="AB78" s="49">
        <v>0</v>
      </c>
      <c r="AC78" s="49">
        <v>0</v>
      </c>
      <c r="AD78" s="49">
        <v>0</v>
      </c>
      <c r="AE78" s="49">
        <v>12</v>
      </c>
      <c r="AF78" s="49">
        <v>12</v>
      </c>
      <c r="AG78" s="49">
        <v>0</v>
      </c>
      <c r="AH78" s="49">
        <v>11201</v>
      </c>
      <c r="AI78" s="49" t="s">
        <v>526</v>
      </c>
      <c r="AJ78" s="49" t="s">
        <v>267</v>
      </c>
    </row>
    <row r="79" spans="1:36">
      <c r="A79" s="58">
        <v>11213</v>
      </c>
      <c r="B79" s="58">
        <v>11200</v>
      </c>
      <c r="C79" s="58" t="s">
        <v>485</v>
      </c>
      <c r="D79" s="58">
        <v>13</v>
      </c>
      <c r="E79" s="59">
        <v>0</v>
      </c>
      <c r="F79" s="58">
        <v>3</v>
      </c>
      <c r="G79" s="58" t="s">
        <v>560</v>
      </c>
      <c r="H79" s="58" t="s">
        <v>523</v>
      </c>
      <c r="I79" s="58">
        <v>2</v>
      </c>
      <c r="J79" s="58">
        <v>380000</v>
      </c>
      <c r="K79" s="58">
        <v>7200</v>
      </c>
      <c r="L79" s="58">
        <v>0</v>
      </c>
      <c r="M79" s="58">
        <v>7</v>
      </c>
      <c r="N79" s="58">
        <v>0</v>
      </c>
      <c r="O79" s="58">
        <v>0</v>
      </c>
      <c r="P79" s="49">
        <v>0</v>
      </c>
      <c r="Q79" s="49">
        <v>0</v>
      </c>
      <c r="R79" s="49">
        <v>0</v>
      </c>
      <c r="S79" s="49">
        <v>0</v>
      </c>
      <c r="T79" s="49">
        <v>78</v>
      </c>
      <c r="U79" s="49">
        <v>0</v>
      </c>
      <c r="V79" s="49">
        <v>0</v>
      </c>
      <c r="W79" s="49" t="s">
        <v>558</v>
      </c>
      <c r="X79" s="49" t="s">
        <v>561</v>
      </c>
      <c r="Y79" s="49">
        <v>0</v>
      </c>
      <c r="Z79" s="51">
        <v>0</v>
      </c>
      <c r="AA79" s="49">
        <v>0</v>
      </c>
      <c r="AB79" s="49">
        <v>0</v>
      </c>
      <c r="AC79" s="49">
        <v>0</v>
      </c>
      <c r="AD79" s="49">
        <v>0</v>
      </c>
      <c r="AE79" s="49">
        <v>13</v>
      </c>
      <c r="AF79" s="49">
        <v>13</v>
      </c>
      <c r="AG79" s="49">
        <v>0</v>
      </c>
      <c r="AH79" s="49">
        <v>11201</v>
      </c>
      <c r="AI79" s="49" t="s">
        <v>526</v>
      </c>
      <c r="AJ79" s="49" t="s">
        <v>267</v>
      </c>
    </row>
    <row r="80" spans="1:36">
      <c r="A80" s="58">
        <v>11214</v>
      </c>
      <c r="B80" s="58">
        <v>11200</v>
      </c>
      <c r="C80" s="58" t="s">
        <v>485</v>
      </c>
      <c r="D80" s="58">
        <v>14</v>
      </c>
      <c r="E80" s="59">
        <v>0</v>
      </c>
      <c r="F80" s="58">
        <v>3</v>
      </c>
      <c r="G80" s="58" t="s">
        <v>560</v>
      </c>
      <c r="H80" s="58" t="s">
        <v>523</v>
      </c>
      <c r="I80" s="58">
        <v>2</v>
      </c>
      <c r="J80" s="58">
        <v>440000</v>
      </c>
      <c r="K80" s="58">
        <v>8640</v>
      </c>
      <c r="L80" s="58">
        <v>0</v>
      </c>
      <c r="M80" s="58">
        <v>8</v>
      </c>
      <c r="N80" s="58">
        <v>0</v>
      </c>
      <c r="O80" s="58">
        <v>0</v>
      </c>
      <c r="P80" s="49">
        <v>0</v>
      </c>
      <c r="Q80" s="49">
        <v>0</v>
      </c>
      <c r="R80" s="49">
        <v>0</v>
      </c>
      <c r="S80" s="49">
        <v>0</v>
      </c>
      <c r="T80" s="49">
        <v>84</v>
      </c>
      <c r="U80" s="49">
        <v>0</v>
      </c>
      <c r="V80" s="49">
        <v>0</v>
      </c>
      <c r="W80" s="49" t="s">
        <v>558</v>
      </c>
      <c r="X80" s="49" t="s">
        <v>561</v>
      </c>
      <c r="Y80" s="49">
        <v>0</v>
      </c>
      <c r="Z80" s="51">
        <v>0</v>
      </c>
      <c r="AA80" s="49">
        <v>0</v>
      </c>
      <c r="AB80" s="49">
        <v>0</v>
      </c>
      <c r="AC80" s="49">
        <v>0</v>
      </c>
      <c r="AD80" s="49">
        <v>0</v>
      </c>
      <c r="AE80" s="49">
        <v>14</v>
      </c>
      <c r="AF80" s="49">
        <v>14</v>
      </c>
      <c r="AG80" s="49">
        <v>0</v>
      </c>
      <c r="AH80" s="49">
        <v>11201</v>
      </c>
      <c r="AI80" s="49" t="s">
        <v>526</v>
      </c>
      <c r="AJ80" s="49" t="s">
        <v>267</v>
      </c>
    </row>
    <row r="81" spans="1:36">
      <c r="A81" s="58">
        <v>11215</v>
      </c>
      <c r="B81" s="58">
        <v>11200</v>
      </c>
      <c r="C81" s="58" t="s">
        <v>485</v>
      </c>
      <c r="D81" s="58">
        <v>15</v>
      </c>
      <c r="E81" s="59">
        <v>0</v>
      </c>
      <c r="F81" s="58">
        <v>3</v>
      </c>
      <c r="G81" s="58" t="s">
        <v>560</v>
      </c>
      <c r="H81" s="58" t="s">
        <v>523</v>
      </c>
      <c r="I81" s="58">
        <v>2</v>
      </c>
      <c r="J81" s="58">
        <v>0</v>
      </c>
      <c r="K81" s="58">
        <v>0</v>
      </c>
      <c r="L81" s="58">
        <v>0</v>
      </c>
      <c r="M81" s="58">
        <v>9</v>
      </c>
      <c r="N81" s="58">
        <v>0</v>
      </c>
      <c r="O81" s="58">
        <v>0</v>
      </c>
      <c r="P81" s="49">
        <v>0</v>
      </c>
      <c r="Q81" s="49">
        <v>0</v>
      </c>
      <c r="R81" s="49">
        <v>0</v>
      </c>
      <c r="S81" s="49">
        <v>0</v>
      </c>
      <c r="T81" s="49">
        <v>90</v>
      </c>
      <c r="U81" s="49">
        <v>0</v>
      </c>
      <c r="V81" s="49">
        <v>0</v>
      </c>
      <c r="W81" s="49" t="s">
        <v>558</v>
      </c>
      <c r="X81" s="49" t="s">
        <v>561</v>
      </c>
      <c r="Y81" s="49">
        <v>0</v>
      </c>
      <c r="Z81" s="51">
        <v>0</v>
      </c>
      <c r="AA81" s="49">
        <v>0</v>
      </c>
      <c r="AB81" s="49">
        <v>0</v>
      </c>
      <c r="AC81" s="49">
        <v>0</v>
      </c>
      <c r="AD81" s="49">
        <v>0</v>
      </c>
      <c r="AE81" s="49">
        <v>15</v>
      </c>
      <c r="AF81" s="49">
        <v>15</v>
      </c>
      <c r="AG81" s="49">
        <v>0</v>
      </c>
      <c r="AH81" s="49">
        <v>11201</v>
      </c>
      <c r="AI81" s="49" t="s">
        <v>526</v>
      </c>
      <c r="AJ81" s="49" t="s">
        <v>267</v>
      </c>
    </row>
    <row r="82" spans="1:36">
      <c r="A82" s="58">
        <v>11301</v>
      </c>
      <c r="B82" s="58">
        <v>11300</v>
      </c>
      <c r="C82" s="58" t="s">
        <v>486</v>
      </c>
      <c r="D82" s="58">
        <v>1</v>
      </c>
      <c r="E82" s="59">
        <v>0</v>
      </c>
      <c r="F82" s="58">
        <v>0</v>
      </c>
      <c r="G82" s="58" t="s">
        <v>562</v>
      </c>
      <c r="H82" s="58" t="s">
        <v>523</v>
      </c>
      <c r="I82" s="58">
        <v>1</v>
      </c>
      <c r="J82" s="58">
        <v>20000</v>
      </c>
      <c r="K82" s="58">
        <v>90</v>
      </c>
      <c r="L82" s="58">
        <v>0</v>
      </c>
      <c r="M82" s="58">
        <v>2</v>
      </c>
      <c r="N82" s="58">
        <v>0</v>
      </c>
      <c r="O82" s="58">
        <v>0</v>
      </c>
      <c r="P82" s="49">
        <v>0</v>
      </c>
      <c r="Q82" s="49">
        <v>0</v>
      </c>
      <c r="R82" s="49">
        <v>0</v>
      </c>
      <c r="S82" s="49">
        <v>0</v>
      </c>
      <c r="T82" s="49">
        <v>0</v>
      </c>
      <c r="U82" s="49">
        <v>0</v>
      </c>
      <c r="V82" s="49">
        <v>0</v>
      </c>
      <c r="W82" s="49" t="s">
        <v>563</v>
      </c>
      <c r="X82" s="49" t="s">
        <v>564</v>
      </c>
      <c r="Y82" s="49">
        <v>60096</v>
      </c>
      <c r="Z82" s="51">
        <v>60098</v>
      </c>
      <c r="AA82" s="49">
        <v>0</v>
      </c>
      <c r="AB82" s="49">
        <v>0</v>
      </c>
      <c r="AC82" s="49">
        <v>0</v>
      </c>
      <c r="AD82" s="49">
        <v>0</v>
      </c>
      <c r="AE82" s="49">
        <v>1</v>
      </c>
      <c r="AF82" s="49">
        <v>1</v>
      </c>
      <c r="AG82" s="49">
        <v>0</v>
      </c>
      <c r="AH82" s="49">
        <v>11301</v>
      </c>
      <c r="AI82" s="49" t="s">
        <v>526</v>
      </c>
      <c r="AJ82" s="49" t="s">
        <v>267</v>
      </c>
    </row>
    <row r="83" spans="1:36">
      <c r="A83" s="58">
        <v>11302</v>
      </c>
      <c r="B83" s="58">
        <v>11300</v>
      </c>
      <c r="C83" s="58" t="s">
        <v>486</v>
      </c>
      <c r="D83" s="58">
        <v>2</v>
      </c>
      <c r="E83" s="59">
        <v>0</v>
      </c>
      <c r="F83" s="58">
        <v>0</v>
      </c>
      <c r="G83" s="58" t="s">
        <v>562</v>
      </c>
      <c r="H83" s="58" t="s">
        <v>523</v>
      </c>
      <c r="I83" s="58">
        <v>1</v>
      </c>
      <c r="J83" s="58">
        <v>40000</v>
      </c>
      <c r="K83" s="58">
        <v>360</v>
      </c>
      <c r="L83" s="58">
        <v>0</v>
      </c>
      <c r="M83" s="58">
        <v>3</v>
      </c>
      <c r="N83" s="58">
        <v>0</v>
      </c>
      <c r="O83" s="58">
        <v>0</v>
      </c>
      <c r="P83" s="49">
        <v>0</v>
      </c>
      <c r="Q83" s="49">
        <v>0</v>
      </c>
      <c r="R83" s="49">
        <v>0</v>
      </c>
      <c r="S83" s="49">
        <v>0</v>
      </c>
      <c r="T83" s="49">
        <v>0</v>
      </c>
      <c r="U83" s="49">
        <v>0</v>
      </c>
      <c r="V83" s="49">
        <v>0</v>
      </c>
      <c r="W83" s="49" t="s">
        <v>563</v>
      </c>
      <c r="X83" s="49" t="s">
        <v>565</v>
      </c>
      <c r="Y83" s="49">
        <v>60096</v>
      </c>
      <c r="Z83" s="51">
        <v>60098</v>
      </c>
      <c r="AA83" s="49">
        <v>0</v>
      </c>
      <c r="AB83" s="49">
        <v>0</v>
      </c>
      <c r="AC83" s="49">
        <v>0</v>
      </c>
      <c r="AD83" s="49">
        <v>0</v>
      </c>
      <c r="AE83" s="49">
        <v>2</v>
      </c>
      <c r="AF83" s="49">
        <v>2</v>
      </c>
      <c r="AG83" s="49">
        <v>0</v>
      </c>
      <c r="AH83" s="49">
        <v>11301</v>
      </c>
      <c r="AI83" s="49" t="s">
        <v>526</v>
      </c>
      <c r="AJ83" s="49" t="s">
        <v>267</v>
      </c>
    </row>
    <row r="84" spans="1:36">
      <c r="A84" s="58">
        <v>11303</v>
      </c>
      <c r="B84" s="58">
        <v>11300</v>
      </c>
      <c r="C84" s="58" t="s">
        <v>486</v>
      </c>
      <c r="D84" s="58">
        <v>3</v>
      </c>
      <c r="E84" s="59">
        <v>0</v>
      </c>
      <c r="F84" s="58">
        <v>0</v>
      </c>
      <c r="G84" s="58" t="s">
        <v>562</v>
      </c>
      <c r="H84" s="58" t="s">
        <v>523</v>
      </c>
      <c r="I84" s="58">
        <v>1</v>
      </c>
      <c r="J84" s="58">
        <v>80000</v>
      </c>
      <c r="K84" s="58">
        <v>720</v>
      </c>
      <c r="L84" s="58">
        <v>0</v>
      </c>
      <c r="M84" s="58">
        <v>4</v>
      </c>
      <c r="N84" s="58">
        <v>0</v>
      </c>
      <c r="O84" s="58">
        <v>0</v>
      </c>
      <c r="P84" s="49">
        <v>0</v>
      </c>
      <c r="Q84" s="49">
        <v>0</v>
      </c>
      <c r="R84" s="49">
        <v>0</v>
      </c>
      <c r="S84" s="49">
        <v>0</v>
      </c>
      <c r="T84" s="49">
        <v>0</v>
      </c>
      <c r="U84" s="49">
        <v>0</v>
      </c>
      <c r="V84" s="49">
        <v>0</v>
      </c>
      <c r="W84" s="49" t="s">
        <v>563</v>
      </c>
      <c r="X84" s="49" t="s">
        <v>565</v>
      </c>
      <c r="Y84" s="49">
        <v>60096</v>
      </c>
      <c r="Z84" s="51">
        <v>60098</v>
      </c>
      <c r="AA84" s="49">
        <v>0</v>
      </c>
      <c r="AB84" s="49">
        <v>0</v>
      </c>
      <c r="AC84" s="49">
        <v>0</v>
      </c>
      <c r="AD84" s="49">
        <v>0</v>
      </c>
      <c r="AE84" s="49">
        <v>3</v>
      </c>
      <c r="AF84" s="49">
        <v>3</v>
      </c>
      <c r="AG84" s="49">
        <v>0</v>
      </c>
      <c r="AH84" s="49">
        <v>11301</v>
      </c>
      <c r="AI84" s="49" t="s">
        <v>526</v>
      </c>
      <c r="AJ84" s="49" t="s">
        <v>267</v>
      </c>
    </row>
    <row r="85" spans="1:36">
      <c r="A85" s="58">
        <v>11401</v>
      </c>
      <c r="B85" s="58">
        <v>11400</v>
      </c>
      <c r="C85" s="58" t="s">
        <v>487</v>
      </c>
      <c r="D85" s="58">
        <v>1</v>
      </c>
      <c r="E85" s="59">
        <v>80</v>
      </c>
      <c r="F85" s="58">
        <v>3</v>
      </c>
      <c r="G85" s="58" t="s">
        <v>566</v>
      </c>
      <c r="H85" s="58" t="s">
        <v>523</v>
      </c>
      <c r="I85" s="58">
        <v>2</v>
      </c>
      <c r="J85" s="58">
        <v>2000</v>
      </c>
      <c r="K85" s="58">
        <v>60</v>
      </c>
      <c r="L85" s="58">
        <v>0</v>
      </c>
      <c r="M85" s="58">
        <v>2</v>
      </c>
      <c r="N85" s="58">
        <v>0</v>
      </c>
      <c r="O85" s="58">
        <v>0</v>
      </c>
      <c r="P85" s="49">
        <v>0</v>
      </c>
      <c r="Q85" s="49">
        <v>0</v>
      </c>
      <c r="R85" s="49">
        <v>0</v>
      </c>
      <c r="S85" s="49">
        <v>0</v>
      </c>
      <c r="T85" s="49">
        <v>0</v>
      </c>
      <c r="U85" s="49">
        <v>0</v>
      </c>
      <c r="V85" s="49">
        <v>1</v>
      </c>
      <c r="W85" s="49" t="s">
        <v>567</v>
      </c>
      <c r="X85" s="49" t="s">
        <v>568</v>
      </c>
      <c r="Y85" s="49">
        <v>60093</v>
      </c>
      <c r="Z85" s="51">
        <v>60094</v>
      </c>
      <c r="AA85" s="49">
        <v>0</v>
      </c>
      <c r="AB85" s="49">
        <v>0</v>
      </c>
      <c r="AC85" s="49">
        <v>0</v>
      </c>
      <c r="AD85" s="49">
        <v>0</v>
      </c>
      <c r="AE85" s="49">
        <v>1</v>
      </c>
      <c r="AF85" s="49">
        <v>1</v>
      </c>
      <c r="AG85" s="49">
        <v>0</v>
      </c>
      <c r="AH85" s="49">
        <v>11401</v>
      </c>
      <c r="AI85" s="49" t="s">
        <v>526</v>
      </c>
      <c r="AJ85" s="49" t="s">
        <v>267</v>
      </c>
    </row>
    <row r="86" spans="1:36">
      <c r="A86" s="58">
        <v>11402</v>
      </c>
      <c r="B86" s="58">
        <v>11400</v>
      </c>
      <c r="C86" s="58" t="s">
        <v>487</v>
      </c>
      <c r="D86" s="58">
        <v>2</v>
      </c>
      <c r="E86" s="59">
        <v>90</v>
      </c>
      <c r="F86" s="58">
        <v>3</v>
      </c>
      <c r="G86" s="58" t="s">
        <v>566</v>
      </c>
      <c r="H86" s="58" t="s">
        <v>523</v>
      </c>
      <c r="I86" s="58">
        <v>2</v>
      </c>
      <c r="J86" s="58">
        <v>20000</v>
      </c>
      <c r="K86" s="58">
        <v>1440</v>
      </c>
      <c r="L86" s="58">
        <v>0</v>
      </c>
      <c r="M86" s="58">
        <v>5</v>
      </c>
      <c r="N86" s="58">
        <v>0</v>
      </c>
      <c r="O86" s="58">
        <v>0</v>
      </c>
      <c r="P86" s="49">
        <v>0</v>
      </c>
      <c r="Q86" s="49">
        <v>0</v>
      </c>
      <c r="R86" s="49">
        <v>0</v>
      </c>
      <c r="S86" s="49">
        <v>0</v>
      </c>
      <c r="T86" s="49">
        <v>0</v>
      </c>
      <c r="U86" s="49">
        <v>0</v>
      </c>
      <c r="V86" s="49">
        <v>1</v>
      </c>
      <c r="W86" s="49" t="s">
        <v>567</v>
      </c>
      <c r="X86" s="49" t="s">
        <v>568</v>
      </c>
      <c r="Y86" s="49">
        <v>60093</v>
      </c>
      <c r="Z86" s="51">
        <v>60094</v>
      </c>
      <c r="AA86" s="49">
        <v>0</v>
      </c>
      <c r="AB86" s="49">
        <v>0</v>
      </c>
      <c r="AC86" s="49">
        <v>0</v>
      </c>
      <c r="AD86" s="49">
        <v>0</v>
      </c>
      <c r="AE86" s="49">
        <v>2</v>
      </c>
      <c r="AF86" s="49">
        <v>2</v>
      </c>
      <c r="AG86" s="49">
        <v>0</v>
      </c>
      <c r="AH86" s="49">
        <v>11401</v>
      </c>
      <c r="AI86" s="49" t="s">
        <v>526</v>
      </c>
      <c r="AJ86" s="49" t="s">
        <v>267</v>
      </c>
    </row>
    <row r="87" spans="1:36">
      <c r="A87" s="58">
        <v>11403</v>
      </c>
      <c r="B87" s="58">
        <v>11400</v>
      </c>
      <c r="C87" s="58" t="s">
        <v>487</v>
      </c>
      <c r="D87" s="58">
        <v>3</v>
      </c>
      <c r="E87" s="59">
        <v>110</v>
      </c>
      <c r="F87" s="58">
        <v>3</v>
      </c>
      <c r="G87" s="58" t="s">
        <v>566</v>
      </c>
      <c r="H87" s="58" t="s">
        <v>523</v>
      </c>
      <c r="I87" s="58">
        <v>2</v>
      </c>
      <c r="J87" s="58">
        <v>200000</v>
      </c>
      <c r="K87" s="58">
        <v>2880</v>
      </c>
      <c r="L87" s="58">
        <v>0</v>
      </c>
      <c r="M87" s="58">
        <v>8</v>
      </c>
      <c r="N87" s="58">
        <v>0</v>
      </c>
      <c r="O87" s="58">
        <v>0</v>
      </c>
      <c r="P87" s="49">
        <v>0</v>
      </c>
      <c r="Q87" s="49">
        <v>0</v>
      </c>
      <c r="R87" s="49">
        <v>0</v>
      </c>
      <c r="S87" s="49">
        <v>0</v>
      </c>
      <c r="T87" s="49">
        <v>0</v>
      </c>
      <c r="U87" s="49">
        <v>0</v>
      </c>
      <c r="V87" s="49">
        <v>1</v>
      </c>
      <c r="W87" s="49" t="s">
        <v>567</v>
      </c>
      <c r="X87" s="49" t="s">
        <v>568</v>
      </c>
      <c r="Y87" s="49">
        <v>60093</v>
      </c>
      <c r="Z87" s="51">
        <v>60094</v>
      </c>
      <c r="AA87" s="49">
        <v>0</v>
      </c>
      <c r="AB87" s="49">
        <v>0</v>
      </c>
      <c r="AC87" s="49">
        <v>0</v>
      </c>
      <c r="AD87" s="49">
        <v>0</v>
      </c>
      <c r="AE87" s="49">
        <v>3</v>
      </c>
      <c r="AF87" s="49">
        <v>3</v>
      </c>
      <c r="AG87" s="49">
        <v>0</v>
      </c>
      <c r="AH87" s="49">
        <v>11401</v>
      </c>
      <c r="AI87" s="49" t="s">
        <v>526</v>
      </c>
      <c r="AJ87" s="49" t="s">
        <v>267</v>
      </c>
    </row>
    <row r="88" spans="1:36">
      <c r="A88" s="58">
        <v>11404</v>
      </c>
      <c r="B88" s="58">
        <v>11400</v>
      </c>
      <c r="C88" s="58" t="s">
        <v>487</v>
      </c>
      <c r="D88" s="58">
        <v>4</v>
      </c>
      <c r="E88" s="59">
        <v>130</v>
      </c>
      <c r="F88" s="58">
        <v>3</v>
      </c>
      <c r="G88" s="58" t="s">
        <v>566</v>
      </c>
      <c r="H88" s="58" t="s">
        <v>523</v>
      </c>
      <c r="I88" s="58">
        <v>2</v>
      </c>
      <c r="J88" s="58">
        <v>0</v>
      </c>
      <c r="K88" s="58">
        <v>0</v>
      </c>
      <c r="L88" s="58">
        <v>0</v>
      </c>
      <c r="M88" s="58">
        <v>10</v>
      </c>
      <c r="N88" s="58">
        <v>0</v>
      </c>
      <c r="O88" s="58">
        <v>0</v>
      </c>
      <c r="P88" s="49">
        <v>0</v>
      </c>
      <c r="Q88" s="49">
        <v>0</v>
      </c>
      <c r="R88" s="49">
        <v>0</v>
      </c>
      <c r="S88" s="49">
        <v>0</v>
      </c>
      <c r="T88" s="49">
        <v>0</v>
      </c>
      <c r="U88" s="49">
        <v>0</v>
      </c>
      <c r="V88" s="49">
        <v>1</v>
      </c>
      <c r="W88" s="49" t="s">
        <v>567</v>
      </c>
      <c r="X88" s="49" t="s">
        <v>568</v>
      </c>
      <c r="Y88" s="49">
        <v>60093</v>
      </c>
      <c r="Z88" s="51">
        <v>60094</v>
      </c>
      <c r="AA88" s="49">
        <v>0</v>
      </c>
      <c r="AB88" s="49">
        <v>0</v>
      </c>
      <c r="AC88" s="49">
        <v>0</v>
      </c>
      <c r="AD88" s="49">
        <v>0</v>
      </c>
      <c r="AE88" s="49">
        <v>4</v>
      </c>
      <c r="AF88" s="49">
        <v>4</v>
      </c>
      <c r="AG88" s="49">
        <v>0</v>
      </c>
      <c r="AH88" s="49">
        <v>11401</v>
      </c>
      <c r="AI88" s="49" t="s">
        <v>526</v>
      </c>
      <c r="AJ88" s="49" t="s">
        <v>267</v>
      </c>
    </row>
  </sheetData>
  <phoneticPr fontId="3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53"/>
  <sheetViews>
    <sheetView workbookViewId="0">
      <selection activeCell="C1" sqref="C1"/>
    </sheetView>
  </sheetViews>
  <sheetFormatPr defaultRowHeight="16.5"/>
  <cols>
    <col min="1" max="1" width="6.5" style="49" bestFit="1" customWidth="1"/>
    <col min="2" max="2" width="12.5" style="49" bestFit="1" customWidth="1"/>
    <col min="3" max="3" width="22.5" style="49" bestFit="1" customWidth="1"/>
    <col min="4" max="4" width="5.375" style="49" customWidth="1"/>
    <col min="5" max="5" width="5.5" style="50" bestFit="1" customWidth="1"/>
    <col min="6" max="6" width="5.125" style="49" bestFit="1" customWidth="1"/>
    <col min="7" max="7" width="8.25" style="49" bestFit="1" customWidth="1"/>
    <col min="8" max="8" width="14.375" style="49" bestFit="1" customWidth="1"/>
    <col min="9" max="9" width="22" style="49" bestFit="1" customWidth="1"/>
    <col min="10" max="10" width="23" style="49" bestFit="1" customWidth="1"/>
    <col min="11" max="11" width="13.5" style="49" bestFit="1" customWidth="1"/>
    <col min="12" max="12" width="18.875" style="49" bestFit="1" customWidth="1"/>
    <col min="13" max="13" width="11" style="49" bestFit="1" customWidth="1"/>
    <col min="14" max="14" width="10.375" style="49" bestFit="1" customWidth="1"/>
    <col min="15" max="15" width="10.125" style="49" bestFit="1" customWidth="1"/>
    <col min="16" max="16" width="20.625" style="49" bestFit="1" customWidth="1"/>
    <col min="17" max="17" width="13.625" style="49" bestFit="1" customWidth="1"/>
    <col min="18" max="18" width="12.625" style="49" bestFit="1" customWidth="1"/>
    <col min="19" max="19" width="17.5" style="49" bestFit="1" customWidth="1"/>
    <col min="20" max="20" width="17.375" style="49" bestFit="1" customWidth="1"/>
    <col min="21" max="21" width="11.375" style="49" bestFit="1" customWidth="1"/>
    <col min="22" max="22" width="16.875" style="49" bestFit="1" customWidth="1"/>
    <col min="23" max="23" width="17.25" style="49" bestFit="1" customWidth="1"/>
    <col min="24" max="24" width="11.125" style="49" bestFit="1" customWidth="1"/>
    <col min="25" max="25" width="12.875" style="50" bestFit="1" customWidth="1"/>
    <col min="26" max="26" width="9" style="49" bestFit="1" customWidth="1"/>
    <col min="27" max="27" width="11.375" style="49" bestFit="1" customWidth="1"/>
    <col min="28" max="28" width="6.25" style="49" bestFit="1" customWidth="1"/>
    <col min="29" max="29" width="31.375" style="49" bestFit="1" customWidth="1"/>
    <col min="30" max="30" width="32.875" style="49" bestFit="1" customWidth="1"/>
    <col min="31" max="32" width="12.5" style="49" bestFit="1" customWidth="1"/>
    <col min="33" max="33" width="13.5" style="49" bestFit="1" customWidth="1"/>
    <col min="34" max="34" width="23" style="49" bestFit="1" customWidth="1"/>
    <col min="35" max="35" width="19.25" style="49" bestFit="1" customWidth="1"/>
    <col min="36" max="36" width="10" style="49" bestFit="1" customWidth="1"/>
    <col min="37" max="37" width="16.25" style="49" bestFit="1" customWidth="1"/>
    <col min="38" max="38" width="8.25" style="49" bestFit="1" customWidth="1"/>
    <col min="39" max="39" width="9.625" style="49" bestFit="1" customWidth="1"/>
    <col min="40" max="16384" width="9" style="49"/>
  </cols>
  <sheetData>
    <row r="1" spans="1:40">
      <c r="A1" s="56" t="s">
        <v>569</v>
      </c>
      <c r="B1" s="56" t="s">
        <v>464</v>
      </c>
      <c r="C1" s="77" t="s">
        <v>1162</v>
      </c>
      <c r="D1" s="56" t="s">
        <v>493</v>
      </c>
      <c r="E1" s="57" t="s">
        <v>494</v>
      </c>
      <c r="F1" s="56" t="s">
        <v>495</v>
      </c>
      <c r="G1" s="56" t="s">
        <v>496</v>
      </c>
      <c r="H1" s="56" t="s">
        <v>497</v>
      </c>
      <c r="I1" s="56" t="s">
        <v>498</v>
      </c>
      <c r="J1" s="56" t="s">
        <v>499</v>
      </c>
      <c r="K1" s="56" t="s">
        <v>174</v>
      </c>
      <c r="L1" s="56" t="s">
        <v>501</v>
      </c>
      <c r="M1" s="56" t="s">
        <v>570</v>
      </c>
      <c r="N1" s="56" t="s">
        <v>571</v>
      </c>
      <c r="O1" s="56" t="s">
        <v>572</v>
      </c>
      <c r="P1" s="56" t="s">
        <v>573</v>
      </c>
      <c r="Q1" s="56" t="s">
        <v>574</v>
      </c>
      <c r="R1" s="56" t="s">
        <v>575</v>
      </c>
      <c r="S1" s="56" t="s">
        <v>576</v>
      </c>
      <c r="T1" s="56" t="s">
        <v>577</v>
      </c>
      <c r="U1" s="56" t="s">
        <v>509</v>
      </c>
      <c r="V1" s="56" t="s">
        <v>578</v>
      </c>
      <c r="W1" s="56" t="s">
        <v>579</v>
      </c>
      <c r="X1" s="56" t="s">
        <v>580</v>
      </c>
      <c r="Y1" s="61" t="s">
        <v>296</v>
      </c>
      <c r="Z1" s="56" t="s">
        <v>293</v>
      </c>
      <c r="AA1" s="56" t="s">
        <v>581</v>
      </c>
      <c r="AB1" s="56" t="s">
        <v>582</v>
      </c>
      <c r="AC1" s="56" t="s">
        <v>583</v>
      </c>
      <c r="AD1" s="56" t="s">
        <v>511</v>
      </c>
      <c r="AE1" s="56" t="s">
        <v>512</v>
      </c>
      <c r="AF1" s="56" t="s">
        <v>513</v>
      </c>
      <c r="AG1" s="56" t="s">
        <v>514</v>
      </c>
      <c r="AH1" s="56" t="s">
        <v>518</v>
      </c>
      <c r="AI1" s="56" t="s">
        <v>519</v>
      </c>
      <c r="AJ1" s="56" t="s">
        <v>281</v>
      </c>
      <c r="AK1" s="56" t="s">
        <v>282</v>
      </c>
      <c r="AL1" s="56" t="s">
        <v>297</v>
      </c>
      <c r="AM1" s="77" t="s">
        <v>262</v>
      </c>
      <c r="AN1" s="61" t="s">
        <v>584</v>
      </c>
    </row>
    <row r="2" spans="1:40">
      <c r="A2" s="58">
        <v>15001</v>
      </c>
      <c r="B2" s="58">
        <v>15000</v>
      </c>
      <c r="C2" s="58" t="s">
        <v>488</v>
      </c>
      <c r="D2" s="58">
        <v>1</v>
      </c>
      <c r="E2" s="58">
        <v>190</v>
      </c>
      <c r="F2" s="58">
        <v>3</v>
      </c>
      <c r="G2" s="58" t="s">
        <v>366</v>
      </c>
      <c r="H2" s="58" t="s">
        <v>366</v>
      </c>
      <c r="I2" s="58">
        <v>1</v>
      </c>
      <c r="J2" s="59">
        <v>1000</v>
      </c>
      <c r="K2" s="58">
        <v>10</v>
      </c>
      <c r="L2" s="58">
        <v>1</v>
      </c>
      <c r="M2" s="58">
        <v>4</v>
      </c>
      <c r="N2" s="58">
        <v>20100</v>
      </c>
      <c r="O2" s="58">
        <v>2</v>
      </c>
      <c r="P2" s="58">
        <v>0.3</v>
      </c>
      <c r="Q2" s="58">
        <v>0</v>
      </c>
      <c r="R2" s="58">
        <v>0.1</v>
      </c>
      <c r="S2" s="58">
        <v>7</v>
      </c>
      <c r="T2" s="58">
        <v>0.2</v>
      </c>
      <c r="U2" s="58">
        <v>8</v>
      </c>
      <c r="V2" s="58">
        <v>8</v>
      </c>
      <c r="W2" s="58">
        <v>8</v>
      </c>
      <c r="X2" s="58" t="s">
        <v>330</v>
      </c>
      <c r="Y2" s="59">
        <v>0.9</v>
      </c>
      <c r="Z2" s="58">
        <v>0</v>
      </c>
      <c r="AA2" s="58">
        <v>0</v>
      </c>
      <c r="AB2" s="58">
        <v>0</v>
      </c>
      <c r="AC2" s="58" t="s">
        <v>204</v>
      </c>
      <c r="AD2" s="58" t="s">
        <v>585</v>
      </c>
      <c r="AE2" s="58">
        <v>60065</v>
      </c>
      <c r="AF2" s="58">
        <v>60066</v>
      </c>
      <c r="AG2" s="58">
        <v>60067</v>
      </c>
      <c r="AH2" s="58">
        <v>1</v>
      </c>
      <c r="AI2" s="58">
        <v>1</v>
      </c>
      <c r="AJ2" s="58">
        <v>17</v>
      </c>
      <c r="AK2" s="58">
        <v>0</v>
      </c>
      <c r="AL2" s="58">
        <v>15001</v>
      </c>
      <c r="AM2" s="58" t="s">
        <v>526</v>
      </c>
      <c r="AN2" s="58"/>
    </row>
    <row r="3" spans="1:40">
      <c r="A3" s="58">
        <v>15002</v>
      </c>
      <c r="B3" s="58">
        <v>15000</v>
      </c>
      <c r="C3" s="58" t="s">
        <v>488</v>
      </c>
      <c r="D3" s="58">
        <v>2</v>
      </c>
      <c r="E3" s="58">
        <v>220</v>
      </c>
      <c r="F3" s="58">
        <v>3</v>
      </c>
      <c r="G3" s="58" t="s">
        <v>366</v>
      </c>
      <c r="H3" s="58" t="s">
        <v>366</v>
      </c>
      <c r="I3" s="58">
        <v>1</v>
      </c>
      <c r="J3" s="59">
        <v>2000</v>
      </c>
      <c r="K3" s="58">
        <v>30</v>
      </c>
      <c r="L3" s="58">
        <v>2</v>
      </c>
      <c r="M3" s="58">
        <v>4</v>
      </c>
      <c r="N3" s="58">
        <v>20100</v>
      </c>
      <c r="O3" s="58">
        <v>2</v>
      </c>
      <c r="P3" s="58">
        <v>0.3</v>
      </c>
      <c r="Q3" s="58">
        <v>0</v>
      </c>
      <c r="R3" s="58">
        <v>0.1</v>
      </c>
      <c r="S3" s="58">
        <v>7</v>
      </c>
      <c r="T3" s="58">
        <v>0.2</v>
      </c>
      <c r="U3" s="58">
        <v>8</v>
      </c>
      <c r="V3" s="58">
        <v>8</v>
      </c>
      <c r="W3" s="58">
        <v>8</v>
      </c>
      <c r="X3" s="58" t="s">
        <v>330</v>
      </c>
      <c r="Y3" s="59">
        <v>1.2</v>
      </c>
      <c r="Z3" s="58">
        <v>0</v>
      </c>
      <c r="AA3" s="58">
        <v>0</v>
      </c>
      <c r="AB3" s="58">
        <v>0</v>
      </c>
      <c r="AC3" s="58" t="s">
        <v>204</v>
      </c>
      <c r="AD3" s="58" t="s">
        <v>585</v>
      </c>
      <c r="AE3" s="58">
        <v>60065</v>
      </c>
      <c r="AF3" s="58">
        <v>60066</v>
      </c>
      <c r="AG3" s="58">
        <v>60067</v>
      </c>
      <c r="AH3" s="58">
        <v>2</v>
      </c>
      <c r="AI3" s="58">
        <v>2</v>
      </c>
      <c r="AJ3" s="58">
        <v>17</v>
      </c>
      <c r="AK3" s="58">
        <v>0</v>
      </c>
      <c r="AL3" s="58">
        <v>15001</v>
      </c>
      <c r="AM3" s="58" t="s">
        <v>526</v>
      </c>
      <c r="AN3" s="58"/>
    </row>
    <row r="4" spans="1:40">
      <c r="A4" s="58">
        <v>15003</v>
      </c>
      <c r="B4" s="58">
        <v>15000</v>
      </c>
      <c r="C4" s="58" t="s">
        <v>488</v>
      </c>
      <c r="D4" s="58">
        <v>3</v>
      </c>
      <c r="E4" s="58">
        <v>290</v>
      </c>
      <c r="F4" s="58">
        <v>3</v>
      </c>
      <c r="G4" s="58" t="s">
        <v>366</v>
      </c>
      <c r="H4" s="58" t="s">
        <v>366</v>
      </c>
      <c r="I4" s="58">
        <v>1</v>
      </c>
      <c r="J4" s="59">
        <v>5000</v>
      </c>
      <c r="K4" s="58">
        <v>120</v>
      </c>
      <c r="L4" s="58">
        <v>3</v>
      </c>
      <c r="M4" s="58">
        <v>4</v>
      </c>
      <c r="N4" s="58">
        <v>20100</v>
      </c>
      <c r="O4" s="58">
        <v>2</v>
      </c>
      <c r="P4" s="58">
        <v>0.3</v>
      </c>
      <c r="Q4" s="58">
        <v>0</v>
      </c>
      <c r="R4" s="58">
        <v>0.1</v>
      </c>
      <c r="S4" s="58">
        <v>7</v>
      </c>
      <c r="T4" s="58">
        <v>0.2</v>
      </c>
      <c r="U4" s="58">
        <v>8</v>
      </c>
      <c r="V4" s="58">
        <v>8</v>
      </c>
      <c r="W4" s="58">
        <v>8</v>
      </c>
      <c r="X4" s="58" t="s">
        <v>330</v>
      </c>
      <c r="Y4" s="59">
        <v>1.5</v>
      </c>
      <c r="Z4" s="58">
        <v>0</v>
      </c>
      <c r="AA4" s="58">
        <v>0</v>
      </c>
      <c r="AB4" s="58">
        <v>0</v>
      </c>
      <c r="AC4" s="58" t="s">
        <v>204</v>
      </c>
      <c r="AD4" s="58" t="s">
        <v>585</v>
      </c>
      <c r="AE4" s="58">
        <v>60065</v>
      </c>
      <c r="AF4" s="58">
        <v>60066</v>
      </c>
      <c r="AG4" s="58">
        <v>60067</v>
      </c>
      <c r="AH4" s="58">
        <v>3</v>
      </c>
      <c r="AI4" s="58">
        <v>3</v>
      </c>
      <c r="AJ4" s="58">
        <v>17</v>
      </c>
      <c r="AK4" s="58">
        <v>0</v>
      </c>
      <c r="AL4" s="58">
        <v>15001</v>
      </c>
      <c r="AM4" s="58" t="s">
        <v>526</v>
      </c>
      <c r="AN4" s="58"/>
    </row>
    <row r="5" spans="1:40">
      <c r="A5" s="58">
        <v>15004</v>
      </c>
      <c r="B5" s="58">
        <v>15000</v>
      </c>
      <c r="C5" s="58" t="s">
        <v>488</v>
      </c>
      <c r="D5" s="58">
        <v>4</v>
      </c>
      <c r="E5" s="58">
        <v>350</v>
      </c>
      <c r="F5" s="58">
        <v>3</v>
      </c>
      <c r="G5" s="58" t="s">
        <v>366</v>
      </c>
      <c r="H5" s="58" t="s">
        <v>366</v>
      </c>
      <c r="I5" s="58">
        <v>1</v>
      </c>
      <c r="J5" s="59">
        <v>8000</v>
      </c>
      <c r="K5" s="58">
        <v>360</v>
      </c>
      <c r="L5" s="58">
        <v>4</v>
      </c>
      <c r="M5" s="58">
        <v>4</v>
      </c>
      <c r="N5" s="58">
        <v>20100</v>
      </c>
      <c r="O5" s="58">
        <v>2</v>
      </c>
      <c r="P5" s="58">
        <v>0.3</v>
      </c>
      <c r="Q5" s="58">
        <v>0</v>
      </c>
      <c r="R5" s="58">
        <v>0.1</v>
      </c>
      <c r="S5" s="58">
        <v>7</v>
      </c>
      <c r="T5" s="58">
        <v>0.2</v>
      </c>
      <c r="U5" s="58">
        <v>8</v>
      </c>
      <c r="V5" s="58">
        <v>8</v>
      </c>
      <c r="W5" s="58">
        <v>8</v>
      </c>
      <c r="X5" s="58" t="s">
        <v>330</v>
      </c>
      <c r="Y5" s="59">
        <v>1.8</v>
      </c>
      <c r="Z5" s="58">
        <v>0</v>
      </c>
      <c r="AA5" s="58">
        <v>0</v>
      </c>
      <c r="AB5" s="58">
        <v>0</v>
      </c>
      <c r="AC5" s="58" t="s">
        <v>204</v>
      </c>
      <c r="AD5" s="58" t="s">
        <v>585</v>
      </c>
      <c r="AE5" s="58">
        <v>60065</v>
      </c>
      <c r="AF5" s="58">
        <v>60066</v>
      </c>
      <c r="AG5" s="58">
        <v>60067</v>
      </c>
      <c r="AH5" s="58">
        <v>4</v>
      </c>
      <c r="AI5" s="58">
        <v>4</v>
      </c>
      <c r="AJ5" s="58">
        <v>17</v>
      </c>
      <c r="AK5" s="58">
        <v>0</v>
      </c>
      <c r="AL5" s="58">
        <v>15001</v>
      </c>
      <c r="AM5" s="58" t="s">
        <v>526</v>
      </c>
      <c r="AN5" s="58"/>
    </row>
    <row r="6" spans="1:40">
      <c r="A6" s="58">
        <v>15005</v>
      </c>
      <c r="B6" s="58">
        <v>15000</v>
      </c>
      <c r="C6" s="58" t="s">
        <v>488</v>
      </c>
      <c r="D6" s="58">
        <v>5</v>
      </c>
      <c r="E6" s="58">
        <v>400</v>
      </c>
      <c r="F6" s="58">
        <v>3</v>
      </c>
      <c r="G6" s="58" t="s">
        <v>366</v>
      </c>
      <c r="H6" s="58" t="s">
        <v>366</v>
      </c>
      <c r="I6" s="58">
        <v>1</v>
      </c>
      <c r="J6" s="59">
        <v>15000</v>
      </c>
      <c r="K6" s="58">
        <v>1440</v>
      </c>
      <c r="L6" s="58">
        <v>4</v>
      </c>
      <c r="M6" s="58">
        <v>4</v>
      </c>
      <c r="N6" s="58">
        <v>20100</v>
      </c>
      <c r="O6" s="58">
        <v>2</v>
      </c>
      <c r="P6" s="58">
        <v>0.3</v>
      </c>
      <c r="Q6" s="58">
        <v>0</v>
      </c>
      <c r="R6" s="58">
        <v>0.1</v>
      </c>
      <c r="S6" s="58">
        <v>7</v>
      </c>
      <c r="T6" s="58">
        <v>0.2</v>
      </c>
      <c r="U6" s="58">
        <v>8</v>
      </c>
      <c r="V6" s="58">
        <v>8</v>
      </c>
      <c r="W6" s="58">
        <v>8</v>
      </c>
      <c r="X6" s="58" t="s">
        <v>330</v>
      </c>
      <c r="Y6" s="59">
        <v>2.2999999999999998</v>
      </c>
      <c r="Z6" s="58">
        <v>0</v>
      </c>
      <c r="AA6" s="58">
        <v>0</v>
      </c>
      <c r="AB6" s="58">
        <v>0</v>
      </c>
      <c r="AC6" s="58" t="s">
        <v>204</v>
      </c>
      <c r="AD6" s="58" t="s">
        <v>585</v>
      </c>
      <c r="AE6" s="58">
        <v>60065</v>
      </c>
      <c r="AF6" s="58">
        <v>60066</v>
      </c>
      <c r="AG6" s="58">
        <v>60067</v>
      </c>
      <c r="AH6" s="58">
        <v>5</v>
      </c>
      <c r="AI6" s="58">
        <v>5</v>
      </c>
      <c r="AJ6" s="58">
        <v>17</v>
      </c>
      <c r="AK6" s="58">
        <v>0</v>
      </c>
      <c r="AL6" s="58">
        <v>15001</v>
      </c>
      <c r="AM6" s="58" t="s">
        <v>526</v>
      </c>
      <c r="AN6" s="58"/>
    </row>
    <row r="7" spans="1:40">
      <c r="A7" s="58">
        <v>15006</v>
      </c>
      <c r="B7" s="58">
        <v>15000</v>
      </c>
      <c r="C7" s="58" t="s">
        <v>488</v>
      </c>
      <c r="D7" s="58">
        <v>6</v>
      </c>
      <c r="E7" s="58">
        <v>540</v>
      </c>
      <c r="F7" s="58">
        <v>3</v>
      </c>
      <c r="G7" s="58" t="s">
        <v>366</v>
      </c>
      <c r="H7" s="58" t="s">
        <v>366</v>
      </c>
      <c r="I7" s="58">
        <v>1</v>
      </c>
      <c r="J7" s="59">
        <v>24000</v>
      </c>
      <c r="K7" s="58">
        <v>2160</v>
      </c>
      <c r="L7" s="58">
        <v>5</v>
      </c>
      <c r="M7" s="58">
        <v>4</v>
      </c>
      <c r="N7" s="58">
        <v>20100</v>
      </c>
      <c r="O7" s="58">
        <v>2</v>
      </c>
      <c r="P7" s="58">
        <v>0.3</v>
      </c>
      <c r="Q7" s="58">
        <v>0</v>
      </c>
      <c r="R7" s="58">
        <v>0.1</v>
      </c>
      <c r="S7" s="58">
        <v>7</v>
      </c>
      <c r="T7" s="58">
        <v>0.2</v>
      </c>
      <c r="U7" s="58">
        <v>8</v>
      </c>
      <c r="V7" s="58">
        <v>8</v>
      </c>
      <c r="W7" s="58">
        <v>8</v>
      </c>
      <c r="X7" s="58" t="s">
        <v>330</v>
      </c>
      <c r="Y7" s="59">
        <v>2.9</v>
      </c>
      <c r="Z7" s="58">
        <v>0</v>
      </c>
      <c r="AA7" s="58">
        <v>0</v>
      </c>
      <c r="AB7" s="58">
        <v>0</v>
      </c>
      <c r="AC7" s="58" t="s">
        <v>204</v>
      </c>
      <c r="AD7" s="58" t="s">
        <v>585</v>
      </c>
      <c r="AE7" s="58">
        <v>60065</v>
      </c>
      <c r="AF7" s="58">
        <v>60066</v>
      </c>
      <c r="AG7" s="58">
        <v>60067</v>
      </c>
      <c r="AH7" s="58">
        <v>6</v>
      </c>
      <c r="AI7" s="58">
        <v>6</v>
      </c>
      <c r="AJ7" s="58">
        <v>17</v>
      </c>
      <c r="AK7" s="58">
        <v>0</v>
      </c>
      <c r="AL7" s="58">
        <v>15001</v>
      </c>
      <c r="AM7" s="58" t="s">
        <v>526</v>
      </c>
      <c r="AN7" s="58"/>
    </row>
    <row r="8" spans="1:40">
      <c r="A8" s="58">
        <v>15007</v>
      </c>
      <c r="B8" s="58">
        <v>15000</v>
      </c>
      <c r="C8" s="58" t="s">
        <v>488</v>
      </c>
      <c r="D8" s="58">
        <v>7</v>
      </c>
      <c r="E8" s="58">
        <v>670</v>
      </c>
      <c r="F8" s="58">
        <v>3</v>
      </c>
      <c r="G8" s="58" t="s">
        <v>366</v>
      </c>
      <c r="H8" s="58" t="s">
        <v>366</v>
      </c>
      <c r="I8" s="58">
        <v>1</v>
      </c>
      <c r="J8" s="59">
        <v>45000</v>
      </c>
      <c r="K8" s="58">
        <v>2880</v>
      </c>
      <c r="L8" s="58">
        <v>5</v>
      </c>
      <c r="M8" s="58">
        <v>4</v>
      </c>
      <c r="N8" s="58">
        <v>20100</v>
      </c>
      <c r="O8" s="58">
        <v>2</v>
      </c>
      <c r="P8" s="58">
        <v>0.3</v>
      </c>
      <c r="Q8" s="58">
        <v>0</v>
      </c>
      <c r="R8" s="58">
        <v>0.1</v>
      </c>
      <c r="S8" s="58">
        <v>7</v>
      </c>
      <c r="T8" s="58">
        <v>0.2</v>
      </c>
      <c r="U8" s="58">
        <v>8</v>
      </c>
      <c r="V8" s="58">
        <v>8</v>
      </c>
      <c r="W8" s="58">
        <v>8</v>
      </c>
      <c r="X8" s="58" t="s">
        <v>330</v>
      </c>
      <c r="Y8" s="59">
        <v>3.5</v>
      </c>
      <c r="Z8" s="58">
        <v>0</v>
      </c>
      <c r="AA8" s="58">
        <v>0</v>
      </c>
      <c r="AB8" s="58">
        <v>0</v>
      </c>
      <c r="AC8" s="58" t="s">
        <v>204</v>
      </c>
      <c r="AD8" s="58" t="s">
        <v>585</v>
      </c>
      <c r="AE8" s="58">
        <v>60065</v>
      </c>
      <c r="AF8" s="58">
        <v>60066</v>
      </c>
      <c r="AG8" s="58">
        <v>60067</v>
      </c>
      <c r="AH8" s="58">
        <v>7</v>
      </c>
      <c r="AI8" s="58">
        <v>7</v>
      </c>
      <c r="AJ8" s="58">
        <v>17</v>
      </c>
      <c r="AK8" s="58">
        <v>0</v>
      </c>
      <c r="AL8" s="58">
        <v>15001</v>
      </c>
      <c r="AM8" s="58" t="s">
        <v>526</v>
      </c>
      <c r="AN8" s="58"/>
    </row>
    <row r="9" spans="1:40">
      <c r="A9" s="58">
        <v>15008</v>
      </c>
      <c r="B9" s="58">
        <v>15000</v>
      </c>
      <c r="C9" s="58" t="s">
        <v>488</v>
      </c>
      <c r="D9" s="58">
        <v>8</v>
      </c>
      <c r="E9" s="58">
        <v>850</v>
      </c>
      <c r="F9" s="58">
        <v>3</v>
      </c>
      <c r="G9" s="58" t="s">
        <v>366</v>
      </c>
      <c r="H9" s="58" t="s">
        <v>366</v>
      </c>
      <c r="I9" s="58">
        <v>1</v>
      </c>
      <c r="J9" s="59">
        <v>70000</v>
      </c>
      <c r="K9" s="58">
        <v>3600</v>
      </c>
      <c r="L9" s="58">
        <v>6</v>
      </c>
      <c r="M9" s="58">
        <v>4</v>
      </c>
      <c r="N9" s="58">
        <v>20100</v>
      </c>
      <c r="O9" s="58">
        <v>2</v>
      </c>
      <c r="P9" s="58">
        <v>0.3</v>
      </c>
      <c r="Q9" s="58">
        <v>0</v>
      </c>
      <c r="R9" s="58">
        <v>0.1</v>
      </c>
      <c r="S9" s="58">
        <v>7</v>
      </c>
      <c r="T9" s="58">
        <v>0.2</v>
      </c>
      <c r="U9" s="58">
        <v>8</v>
      </c>
      <c r="V9" s="58">
        <v>8</v>
      </c>
      <c r="W9" s="58">
        <v>8</v>
      </c>
      <c r="X9" s="58" t="s">
        <v>330</v>
      </c>
      <c r="Y9" s="59">
        <v>4.4000000000000004</v>
      </c>
      <c r="Z9" s="58">
        <v>0</v>
      </c>
      <c r="AA9" s="58">
        <v>0</v>
      </c>
      <c r="AB9" s="58">
        <v>0</v>
      </c>
      <c r="AC9" s="58" t="s">
        <v>204</v>
      </c>
      <c r="AD9" s="58" t="s">
        <v>585</v>
      </c>
      <c r="AE9" s="58">
        <v>60065</v>
      </c>
      <c r="AF9" s="58">
        <v>60066</v>
      </c>
      <c r="AG9" s="58">
        <v>60067</v>
      </c>
      <c r="AH9" s="58">
        <v>8</v>
      </c>
      <c r="AI9" s="58">
        <v>8</v>
      </c>
      <c r="AJ9" s="58">
        <v>17</v>
      </c>
      <c r="AK9" s="58">
        <v>0</v>
      </c>
      <c r="AL9" s="58">
        <v>15001</v>
      </c>
      <c r="AM9" s="58" t="s">
        <v>526</v>
      </c>
      <c r="AN9" s="58"/>
    </row>
    <row r="10" spans="1:40">
      <c r="A10" s="58">
        <v>15009</v>
      </c>
      <c r="B10" s="58">
        <v>15000</v>
      </c>
      <c r="C10" s="58" t="s">
        <v>488</v>
      </c>
      <c r="D10" s="58">
        <v>9</v>
      </c>
      <c r="E10" s="58">
        <v>960</v>
      </c>
      <c r="F10" s="58">
        <v>3</v>
      </c>
      <c r="G10" s="58" t="s">
        <v>366</v>
      </c>
      <c r="H10" s="58" t="s">
        <v>366</v>
      </c>
      <c r="I10" s="58">
        <v>1</v>
      </c>
      <c r="J10" s="62">
        <v>100000</v>
      </c>
      <c r="K10" s="58">
        <v>5040</v>
      </c>
      <c r="L10" s="58">
        <v>7</v>
      </c>
      <c r="M10" s="58">
        <v>4</v>
      </c>
      <c r="N10" s="58">
        <v>20100</v>
      </c>
      <c r="O10" s="58">
        <v>2</v>
      </c>
      <c r="P10" s="58">
        <v>0.3</v>
      </c>
      <c r="Q10" s="58">
        <v>0</v>
      </c>
      <c r="R10" s="58">
        <v>0.1</v>
      </c>
      <c r="S10" s="58">
        <v>7</v>
      </c>
      <c r="T10" s="58">
        <v>0.2</v>
      </c>
      <c r="U10" s="58">
        <v>8</v>
      </c>
      <c r="V10" s="58">
        <v>8</v>
      </c>
      <c r="W10" s="58">
        <v>8</v>
      </c>
      <c r="X10" s="58" t="s">
        <v>330</v>
      </c>
      <c r="Y10" s="59">
        <v>5.0999999999999996</v>
      </c>
      <c r="Z10" s="58">
        <v>0</v>
      </c>
      <c r="AA10" s="58">
        <v>0</v>
      </c>
      <c r="AB10" s="58">
        <v>0</v>
      </c>
      <c r="AC10" s="58" t="s">
        <v>204</v>
      </c>
      <c r="AD10" s="58" t="s">
        <v>585</v>
      </c>
      <c r="AE10" s="58">
        <v>60065</v>
      </c>
      <c r="AF10" s="58">
        <v>60066</v>
      </c>
      <c r="AG10" s="58">
        <v>60067</v>
      </c>
      <c r="AH10" s="58">
        <v>9</v>
      </c>
      <c r="AI10" s="58">
        <v>9</v>
      </c>
      <c r="AJ10" s="58">
        <v>17</v>
      </c>
      <c r="AK10" s="58">
        <v>0</v>
      </c>
      <c r="AL10" s="58">
        <v>15001</v>
      </c>
      <c r="AM10" s="58" t="s">
        <v>526</v>
      </c>
      <c r="AN10" s="58"/>
    </row>
    <row r="11" spans="1:40">
      <c r="A11" s="58">
        <v>15010</v>
      </c>
      <c r="B11" s="58">
        <v>15000</v>
      </c>
      <c r="C11" s="58" t="s">
        <v>488</v>
      </c>
      <c r="D11" s="58">
        <v>10</v>
      </c>
      <c r="E11" s="58">
        <v>1120</v>
      </c>
      <c r="F11" s="58">
        <v>3</v>
      </c>
      <c r="G11" s="58" t="s">
        <v>366</v>
      </c>
      <c r="H11" s="58" t="s">
        <v>366</v>
      </c>
      <c r="I11" s="58">
        <v>1</v>
      </c>
      <c r="J11" s="58">
        <v>0</v>
      </c>
      <c r="K11" s="58">
        <v>0</v>
      </c>
      <c r="L11" s="58">
        <v>8</v>
      </c>
      <c r="M11" s="58">
        <v>4</v>
      </c>
      <c r="N11" s="58">
        <v>20100</v>
      </c>
      <c r="O11" s="58">
        <v>2</v>
      </c>
      <c r="P11" s="58">
        <v>0.3</v>
      </c>
      <c r="Q11" s="58">
        <v>0</v>
      </c>
      <c r="R11" s="58">
        <v>0.1</v>
      </c>
      <c r="S11" s="58">
        <v>7</v>
      </c>
      <c r="T11" s="58">
        <v>0.2</v>
      </c>
      <c r="U11" s="58">
        <v>8</v>
      </c>
      <c r="V11" s="58">
        <v>8</v>
      </c>
      <c r="W11" s="58">
        <v>8</v>
      </c>
      <c r="X11" s="58" t="s">
        <v>330</v>
      </c>
      <c r="Y11" s="59">
        <v>6</v>
      </c>
      <c r="Z11" s="58">
        <v>0</v>
      </c>
      <c r="AA11" s="58">
        <v>0</v>
      </c>
      <c r="AB11" s="58">
        <v>0</v>
      </c>
      <c r="AC11" s="58" t="s">
        <v>204</v>
      </c>
      <c r="AD11" s="58" t="s">
        <v>585</v>
      </c>
      <c r="AE11" s="58">
        <v>60065</v>
      </c>
      <c r="AF11" s="58">
        <v>60066</v>
      </c>
      <c r="AG11" s="58">
        <v>60067</v>
      </c>
      <c r="AH11" s="58">
        <v>10</v>
      </c>
      <c r="AI11" s="58">
        <v>10</v>
      </c>
      <c r="AJ11" s="58">
        <v>17</v>
      </c>
      <c r="AK11" s="58">
        <v>0</v>
      </c>
      <c r="AL11" s="58">
        <v>15001</v>
      </c>
      <c r="AM11" s="58" t="s">
        <v>526</v>
      </c>
      <c r="AN11" s="58"/>
    </row>
    <row r="12" spans="1:40">
      <c r="A12" s="58">
        <v>15101</v>
      </c>
      <c r="B12" s="58">
        <v>15100</v>
      </c>
      <c r="C12" s="58" t="s">
        <v>489</v>
      </c>
      <c r="D12" s="58">
        <v>1</v>
      </c>
      <c r="E12" s="58">
        <v>160</v>
      </c>
      <c r="F12" s="58">
        <v>3</v>
      </c>
      <c r="G12" s="58" t="s">
        <v>366</v>
      </c>
      <c r="H12" s="58" t="s">
        <v>366</v>
      </c>
      <c r="I12" s="58">
        <v>1</v>
      </c>
      <c r="J12" s="58">
        <v>2000</v>
      </c>
      <c r="K12" s="58">
        <v>15</v>
      </c>
      <c r="L12" s="58">
        <v>2</v>
      </c>
      <c r="M12" s="58">
        <v>1</v>
      </c>
      <c r="N12" s="58">
        <v>20100</v>
      </c>
      <c r="O12" s="58">
        <v>0</v>
      </c>
      <c r="P12" s="58">
        <v>0.4</v>
      </c>
      <c r="Q12" s="58">
        <v>0.2</v>
      </c>
      <c r="R12" s="58">
        <v>0.7</v>
      </c>
      <c r="S12" s="58">
        <v>0</v>
      </c>
      <c r="T12" s="58">
        <v>0</v>
      </c>
      <c r="U12" s="58">
        <v>6</v>
      </c>
      <c r="V12" s="58">
        <v>6</v>
      </c>
      <c r="W12" s="58">
        <v>6</v>
      </c>
      <c r="X12" s="58" t="s">
        <v>330</v>
      </c>
      <c r="Y12" s="59">
        <v>15</v>
      </c>
      <c r="Z12" s="58">
        <v>101</v>
      </c>
      <c r="AA12" s="58">
        <v>1</v>
      </c>
      <c r="AB12" s="58">
        <v>0</v>
      </c>
      <c r="AC12" s="58" t="s">
        <v>207</v>
      </c>
      <c r="AD12" s="58" t="s">
        <v>586</v>
      </c>
      <c r="AE12" s="58">
        <v>60068</v>
      </c>
      <c r="AF12" s="58">
        <v>60069</v>
      </c>
      <c r="AG12" s="58">
        <v>60070</v>
      </c>
      <c r="AH12" s="58">
        <v>1</v>
      </c>
      <c r="AI12" s="58">
        <v>1</v>
      </c>
      <c r="AJ12" s="58">
        <v>0</v>
      </c>
      <c r="AK12" s="58">
        <v>1</v>
      </c>
      <c r="AL12" s="58">
        <v>15101</v>
      </c>
      <c r="AM12" s="58" t="s">
        <v>526</v>
      </c>
      <c r="AN12" s="58"/>
    </row>
    <row r="13" spans="1:40">
      <c r="A13" s="58">
        <v>15102</v>
      </c>
      <c r="B13" s="58">
        <v>15100</v>
      </c>
      <c r="C13" s="58" t="s">
        <v>489</v>
      </c>
      <c r="D13" s="58">
        <v>2</v>
      </c>
      <c r="E13" s="58">
        <v>240</v>
      </c>
      <c r="F13" s="58">
        <v>3</v>
      </c>
      <c r="G13" s="58" t="s">
        <v>366</v>
      </c>
      <c r="H13" s="58" t="s">
        <v>366</v>
      </c>
      <c r="I13" s="58">
        <v>1</v>
      </c>
      <c r="J13" s="58">
        <v>3000</v>
      </c>
      <c r="K13" s="58">
        <v>45</v>
      </c>
      <c r="L13" s="58">
        <v>4</v>
      </c>
      <c r="M13" s="58">
        <v>1</v>
      </c>
      <c r="N13" s="58">
        <v>20100</v>
      </c>
      <c r="O13" s="58">
        <v>0</v>
      </c>
      <c r="P13" s="58">
        <v>0.4</v>
      </c>
      <c r="Q13" s="58">
        <v>0.2</v>
      </c>
      <c r="R13" s="58">
        <v>0.7</v>
      </c>
      <c r="S13" s="58">
        <v>0</v>
      </c>
      <c r="T13" s="58">
        <v>0</v>
      </c>
      <c r="U13" s="58">
        <v>6</v>
      </c>
      <c r="V13" s="58">
        <v>6</v>
      </c>
      <c r="W13" s="58">
        <v>6</v>
      </c>
      <c r="X13" s="58" t="s">
        <v>330</v>
      </c>
      <c r="Y13" s="59">
        <v>17</v>
      </c>
      <c r="Z13" s="58">
        <v>101</v>
      </c>
      <c r="AA13" s="58">
        <v>1</v>
      </c>
      <c r="AB13" s="58">
        <v>0</v>
      </c>
      <c r="AC13" s="58" t="s">
        <v>207</v>
      </c>
      <c r="AD13" s="58" t="s">
        <v>586</v>
      </c>
      <c r="AE13" s="58">
        <v>60068</v>
      </c>
      <c r="AF13" s="58">
        <v>60069</v>
      </c>
      <c r="AG13" s="58">
        <v>60070</v>
      </c>
      <c r="AH13" s="58">
        <v>2</v>
      </c>
      <c r="AI13" s="58">
        <v>2</v>
      </c>
      <c r="AJ13" s="58">
        <v>0</v>
      </c>
      <c r="AK13" s="58">
        <v>1</v>
      </c>
      <c r="AL13" s="58">
        <v>15101</v>
      </c>
      <c r="AM13" s="58" t="s">
        <v>526</v>
      </c>
      <c r="AN13" s="58"/>
    </row>
    <row r="14" spans="1:40">
      <c r="A14" s="58">
        <v>15103</v>
      </c>
      <c r="B14" s="58">
        <v>15100</v>
      </c>
      <c r="C14" s="58" t="s">
        <v>489</v>
      </c>
      <c r="D14" s="58">
        <v>3</v>
      </c>
      <c r="E14" s="58">
        <v>320</v>
      </c>
      <c r="F14" s="58">
        <v>3</v>
      </c>
      <c r="G14" s="58" t="s">
        <v>366</v>
      </c>
      <c r="H14" s="58" t="s">
        <v>366</v>
      </c>
      <c r="I14" s="58">
        <v>1</v>
      </c>
      <c r="J14" s="58">
        <v>8000</v>
      </c>
      <c r="K14" s="58">
        <v>180</v>
      </c>
      <c r="L14" s="58">
        <v>4</v>
      </c>
      <c r="M14" s="58">
        <v>1</v>
      </c>
      <c r="N14" s="58">
        <v>20100</v>
      </c>
      <c r="O14" s="58">
        <v>0</v>
      </c>
      <c r="P14" s="58">
        <v>0.4</v>
      </c>
      <c r="Q14" s="58">
        <v>0.2</v>
      </c>
      <c r="R14" s="58">
        <v>0.7</v>
      </c>
      <c r="S14" s="58">
        <v>0</v>
      </c>
      <c r="T14" s="58">
        <v>0</v>
      </c>
      <c r="U14" s="58">
        <v>6</v>
      </c>
      <c r="V14" s="58">
        <v>6</v>
      </c>
      <c r="W14" s="58">
        <v>6</v>
      </c>
      <c r="X14" s="58" t="s">
        <v>330</v>
      </c>
      <c r="Y14" s="59">
        <v>21</v>
      </c>
      <c r="Z14" s="58">
        <v>101</v>
      </c>
      <c r="AA14" s="58">
        <v>1</v>
      </c>
      <c r="AB14" s="58">
        <v>0</v>
      </c>
      <c r="AC14" s="58" t="s">
        <v>207</v>
      </c>
      <c r="AD14" s="58" t="s">
        <v>586</v>
      </c>
      <c r="AE14" s="58">
        <v>60068</v>
      </c>
      <c r="AF14" s="58">
        <v>60069</v>
      </c>
      <c r="AG14" s="58">
        <v>60070</v>
      </c>
      <c r="AH14" s="58">
        <v>3</v>
      </c>
      <c r="AI14" s="58">
        <v>3</v>
      </c>
      <c r="AJ14" s="58">
        <v>0</v>
      </c>
      <c r="AK14" s="58">
        <v>1</v>
      </c>
      <c r="AL14" s="58">
        <v>15101</v>
      </c>
      <c r="AM14" s="58" t="s">
        <v>526</v>
      </c>
      <c r="AN14" s="58"/>
    </row>
    <row r="15" spans="1:40">
      <c r="A15" s="58">
        <v>15104</v>
      </c>
      <c r="B15" s="58">
        <v>15100</v>
      </c>
      <c r="C15" s="58" t="s">
        <v>489</v>
      </c>
      <c r="D15" s="58">
        <v>4</v>
      </c>
      <c r="E15" s="58">
        <v>480</v>
      </c>
      <c r="F15" s="58">
        <v>3</v>
      </c>
      <c r="G15" s="58" t="s">
        <v>366</v>
      </c>
      <c r="H15" s="58" t="s">
        <v>366</v>
      </c>
      <c r="I15" s="58">
        <v>1</v>
      </c>
      <c r="J15" s="58">
        <v>20000</v>
      </c>
      <c r="K15" s="58">
        <v>540</v>
      </c>
      <c r="L15" s="58">
        <v>5</v>
      </c>
      <c r="M15" s="58">
        <v>1</v>
      </c>
      <c r="N15" s="58">
        <v>20100</v>
      </c>
      <c r="O15" s="58">
        <v>0</v>
      </c>
      <c r="P15" s="58">
        <v>0.4</v>
      </c>
      <c r="Q15" s="58">
        <v>0.2</v>
      </c>
      <c r="R15" s="58">
        <v>0.7</v>
      </c>
      <c r="S15" s="58">
        <v>0</v>
      </c>
      <c r="T15" s="58">
        <v>0</v>
      </c>
      <c r="U15" s="58">
        <v>6</v>
      </c>
      <c r="V15" s="58">
        <v>6</v>
      </c>
      <c r="W15" s="58">
        <v>6</v>
      </c>
      <c r="X15" s="58" t="s">
        <v>330</v>
      </c>
      <c r="Y15" s="59">
        <v>24</v>
      </c>
      <c r="Z15" s="58">
        <v>101</v>
      </c>
      <c r="AA15" s="58">
        <v>1</v>
      </c>
      <c r="AB15" s="58">
        <v>0</v>
      </c>
      <c r="AC15" s="58" t="s">
        <v>207</v>
      </c>
      <c r="AD15" s="58" t="s">
        <v>586</v>
      </c>
      <c r="AE15" s="58">
        <v>60068</v>
      </c>
      <c r="AF15" s="58">
        <v>60069</v>
      </c>
      <c r="AG15" s="58">
        <v>60070</v>
      </c>
      <c r="AH15" s="58">
        <v>4</v>
      </c>
      <c r="AI15" s="58">
        <v>4</v>
      </c>
      <c r="AJ15" s="58">
        <v>0</v>
      </c>
      <c r="AK15" s="58">
        <v>1</v>
      </c>
      <c r="AL15" s="58">
        <v>15101</v>
      </c>
      <c r="AM15" s="58" t="s">
        <v>526</v>
      </c>
      <c r="AN15" s="58"/>
    </row>
    <row r="16" spans="1:40">
      <c r="A16" s="58">
        <v>15105</v>
      </c>
      <c r="B16" s="58">
        <v>15100</v>
      </c>
      <c r="C16" s="58" t="s">
        <v>489</v>
      </c>
      <c r="D16" s="58">
        <v>5</v>
      </c>
      <c r="E16" s="58">
        <v>560</v>
      </c>
      <c r="F16" s="58">
        <v>3</v>
      </c>
      <c r="G16" s="58" t="s">
        <v>366</v>
      </c>
      <c r="H16" s="58" t="s">
        <v>366</v>
      </c>
      <c r="I16" s="58">
        <v>1</v>
      </c>
      <c r="J16" s="58">
        <v>30000</v>
      </c>
      <c r="K16" s="58">
        <v>2160</v>
      </c>
      <c r="L16" s="58">
        <v>5</v>
      </c>
      <c r="M16" s="58">
        <v>1</v>
      </c>
      <c r="N16" s="58">
        <v>20100</v>
      </c>
      <c r="O16" s="58">
        <v>0</v>
      </c>
      <c r="P16" s="58">
        <v>0.4</v>
      </c>
      <c r="Q16" s="58">
        <v>0.2</v>
      </c>
      <c r="R16" s="58">
        <v>0.7</v>
      </c>
      <c r="S16" s="58">
        <v>0</v>
      </c>
      <c r="T16" s="58">
        <v>0</v>
      </c>
      <c r="U16" s="58">
        <v>6</v>
      </c>
      <c r="V16" s="58">
        <v>6</v>
      </c>
      <c r="W16" s="58">
        <v>6</v>
      </c>
      <c r="X16" s="58" t="s">
        <v>330</v>
      </c>
      <c r="Y16" s="59">
        <v>30</v>
      </c>
      <c r="Z16" s="58">
        <v>101</v>
      </c>
      <c r="AA16" s="58">
        <v>1</v>
      </c>
      <c r="AB16" s="58">
        <v>0</v>
      </c>
      <c r="AC16" s="58" t="s">
        <v>207</v>
      </c>
      <c r="AD16" s="58" t="s">
        <v>586</v>
      </c>
      <c r="AE16" s="58">
        <v>60068</v>
      </c>
      <c r="AF16" s="58">
        <v>60069</v>
      </c>
      <c r="AG16" s="58">
        <v>60070</v>
      </c>
      <c r="AH16" s="58">
        <v>5</v>
      </c>
      <c r="AI16" s="58">
        <v>5</v>
      </c>
      <c r="AJ16" s="58">
        <v>0</v>
      </c>
      <c r="AK16" s="58">
        <v>1</v>
      </c>
      <c r="AL16" s="58">
        <v>15101</v>
      </c>
      <c r="AM16" s="58" t="s">
        <v>526</v>
      </c>
      <c r="AN16" s="58"/>
    </row>
    <row r="17" spans="1:40">
      <c r="A17" s="58">
        <v>15106</v>
      </c>
      <c r="B17" s="58">
        <v>15100</v>
      </c>
      <c r="C17" s="58" t="s">
        <v>489</v>
      </c>
      <c r="D17" s="58">
        <v>6</v>
      </c>
      <c r="E17" s="58">
        <v>640</v>
      </c>
      <c r="F17" s="58">
        <v>3</v>
      </c>
      <c r="G17" s="58" t="s">
        <v>366</v>
      </c>
      <c r="H17" s="58" t="s">
        <v>366</v>
      </c>
      <c r="I17" s="58">
        <v>1</v>
      </c>
      <c r="J17" s="58">
        <v>50000</v>
      </c>
      <c r="K17" s="58">
        <v>3240</v>
      </c>
      <c r="L17" s="58">
        <v>6</v>
      </c>
      <c r="M17" s="58">
        <v>1</v>
      </c>
      <c r="N17" s="58">
        <v>20100</v>
      </c>
      <c r="O17" s="58">
        <v>0</v>
      </c>
      <c r="P17" s="58">
        <v>0.4</v>
      </c>
      <c r="Q17" s="58">
        <v>0.2</v>
      </c>
      <c r="R17" s="58">
        <v>0.7</v>
      </c>
      <c r="S17" s="58">
        <v>0</v>
      </c>
      <c r="T17" s="58">
        <v>0</v>
      </c>
      <c r="U17" s="58">
        <v>6</v>
      </c>
      <c r="V17" s="58">
        <v>6</v>
      </c>
      <c r="W17" s="58">
        <v>6</v>
      </c>
      <c r="X17" s="58" t="s">
        <v>330</v>
      </c>
      <c r="Y17" s="59">
        <v>45</v>
      </c>
      <c r="Z17" s="58">
        <v>101</v>
      </c>
      <c r="AA17" s="58">
        <v>1</v>
      </c>
      <c r="AB17" s="58">
        <v>0</v>
      </c>
      <c r="AC17" s="58" t="s">
        <v>207</v>
      </c>
      <c r="AD17" s="58" t="s">
        <v>586</v>
      </c>
      <c r="AE17" s="58">
        <v>60068</v>
      </c>
      <c r="AF17" s="58">
        <v>60069</v>
      </c>
      <c r="AG17" s="58">
        <v>60070</v>
      </c>
      <c r="AH17" s="58">
        <v>6</v>
      </c>
      <c r="AI17" s="58">
        <v>6</v>
      </c>
      <c r="AJ17" s="58">
        <v>0</v>
      </c>
      <c r="AK17" s="58">
        <v>1</v>
      </c>
      <c r="AL17" s="58">
        <v>15101</v>
      </c>
      <c r="AM17" s="58" t="s">
        <v>526</v>
      </c>
      <c r="AN17" s="58"/>
    </row>
    <row r="18" spans="1:40">
      <c r="A18" s="58">
        <v>15107</v>
      </c>
      <c r="B18" s="58">
        <v>15100</v>
      </c>
      <c r="C18" s="58" t="s">
        <v>489</v>
      </c>
      <c r="D18" s="58">
        <v>7</v>
      </c>
      <c r="E18" s="58">
        <v>720</v>
      </c>
      <c r="F18" s="58">
        <v>3</v>
      </c>
      <c r="G18" s="58" t="s">
        <v>366</v>
      </c>
      <c r="H18" s="58" t="s">
        <v>366</v>
      </c>
      <c r="I18" s="58">
        <v>1</v>
      </c>
      <c r="J18" s="58">
        <v>70000</v>
      </c>
      <c r="K18" s="58">
        <v>4320</v>
      </c>
      <c r="L18" s="58">
        <v>7</v>
      </c>
      <c r="M18" s="58">
        <v>1</v>
      </c>
      <c r="N18" s="58">
        <v>20100</v>
      </c>
      <c r="O18" s="58">
        <v>0</v>
      </c>
      <c r="P18" s="58">
        <v>0.4</v>
      </c>
      <c r="Q18" s="58">
        <v>0.2</v>
      </c>
      <c r="R18" s="58">
        <v>0.7</v>
      </c>
      <c r="S18" s="58">
        <v>0</v>
      </c>
      <c r="T18" s="58">
        <v>0</v>
      </c>
      <c r="U18" s="58">
        <v>6</v>
      </c>
      <c r="V18" s="58">
        <v>6</v>
      </c>
      <c r="W18" s="58">
        <v>6</v>
      </c>
      <c r="X18" s="58" t="s">
        <v>330</v>
      </c>
      <c r="Y18" s="59">
        <v>60</v>
      </c>
      <c r="Z18" s="58">
        <v>101</v>
      </c>
      <c r="AA18" s="58">
        <v>1</v>
      </c>
      <c r="AB18" s="58">
        <v>0</v>
      </c>
      <c r="AC18" s="58" t="s">
        <v>207</v>
      </c>
      <c r="AD18" s="58" t="s">
        <v>586</v>
      </c>
      <c r="AE18" s="58">
        <v>60068</v>
      </c>
      <c r="AF18" s="58">
        <v>60069</v>
      </c>
      <c r="AG18" s="58">
        <v>60070</v>
      </c>
      <c r="AH18" s="58">
        <v>7</v>
      </c>
      <c r="AI18" s="58">
        <v>7</v>
      </c>
      <c r="AJ18" s="58">
        <v>0</v>
      </c>
      <c r="AK18" s="58">
        <v>1</v>
      </c>
      <c r="AL18" s="58">
        <v>15101</v>
      </c>
      <c r="AM18" s="58" t="s">
        <v>526</v>
      </c>
      <c r="AN18" s="58"/>
    </row>
    <row r="19" spans="1:40">
      <c r="A19" s="58">
        <v>15108</v>
      </c>
      <c r="B19" s="58">
        <v>15100</v>
      </c>
      <c r="C19" s="58" t="s">
        <v>489</v>
      </c>
      <c r="D19" s="58">
        <v>8</v>
      </c>
      <c r="E19" s="58">
        <v>800</v>
      </c>
      <c r="F19" s="58">
        <v>3</v>
      </c>
      <c r="G19" s="58" t="s">
        <v>366</v>
      </c>
      <c r="H19" s="58" t="s">
        <v>366</v>
      </c>
      <c r="I19" s="58">
        <v>1</v>
      </c>
      <c r="J19" s="58">
        <v>80000</v>
      </c>
      <c r="K19" s="58">
        <v>5400</v>
      </c>
      <c r="L19" s="58">
        <v>7</v>
      </c>
      <c r="M19" s="58">
        <v>1</v>
      </c>
      <c r="N19" s="58">
        <v>20100</v>
      </c>
      <c r="O19" s="58">
        <v>0</v>
      </c>
      <c r="P19" s="58">
        <v>0.4</v>
      </c>
      <c r="Q19" s="58">
        <v>0.2</v>
      </c>
      <c r="R19" s="58">
        <v>0.7</v>
      </c>
      <c r="S19" s="58">
        <v>0</v>
      </c>
      <c r="T19" s="58">
        <v>0</v>
      </c>
      <c r="U19" s="58">
        <v>6</v>
      </c>
      <c r="V19" s="58">
        <v>6</v>
      </c>
      <c r="W19" s="58">
        <v>6</v>
      </c>
      <c r="X19" s="58" t="s">
        <v>330</v>
      </c>
      <c r="Y19" s="59">
        <v>80</v>
      </c>
      <c r="Z19" s="58">
        <v>101</v>
      </c>
      <c r="AA19" s="58">
        <v>1</v>
      </c>
      <c r="AB19" s="58">
        <v>0</v>
      </c>
      <c r="AC19" s="58" t="s">
        <v>207</v>
      </c>
      <c r="AD19" s="58" t="s">
        <v>586</v>
      </c>
      <c r="AE19" s="58">
        <v>60068</v>
      </c>
      <c r="AF19" s="58">
        <v>60069</v>
      </c>
      <c r="AG19" s="58">
        <v>60070</v>
      </c>
      <c r="AH19" s="58">
        <v>8</v>
      </c>
      <c r="AI19" s="58">
        <v>8</v>
      </c>
      <c r="AJ19" s="58">
        <v>0</v>
      </c>
      <c r="AK19" s="58">
        <v>1</v>
      </c>
      <c r="AL19" s="58">
        <v>15101</v>
      </c>
      <c r="AM19" s="58" t="s">
        <v>526</v>
      </c>
      <c r="AN19" s="58"/>
    </row>
    <row r="20" spans="1:40">
      <c r="A20" s="58">
        <v>15109</v>
      </c>
      <c r="B20" s="58">
        <v>15100</v>
      </c>
      <c r="C20" s="58" t="s">
        <v>489</v>
      </c>
      <c r="D20" s="58">
        <v>9</v>
      </c>
      <c r="E20" s="58">
        <v>960</v>
      </c>
      <c r="F20" s="58">
        <v>3</v>
      </c>
      <c r="G20" s="58" t="s">
        <v>366</v>
      </c>
      <c r="H20" s="58" t="s">
        <v>366</v>
      </c>
      <c r="I20" s="58">
        <v>1</v>
      </c>
      <c r="J20" s="58">
        <v>100000</v>
      </c>
      <c r="K20" s="58">
        <v>6840</v>
      </c>
      <c r="L20" s="58">
        <v>8</v>
      </c>
      <c r="M20" s="58">
        <v>1</v>
      </c>
      <c r="N20" s="58">
        <v>20100</v>
      </c>
      <c r="O20" s="58">
        <v>0</v>
      </c>
      <c r="P20" s="58">
        <v>0.4</v>
      </c>
      <c r="Q20" s="58">
        <v>0.2</v>
      </c>
      <c r="R20" s="58">
        <v>0.7</v>
      </c>
      <c r="S20" s="58">
        <v>0</v>
      </c>
      <c r="T20" s="58">
        <v>0</v>
      </c>
      <c r="U20" s="58">
        <v>6</v>
      </c>
      <c r="V20" s="58">
        <v>6</v>
      </c>
      <c r="W20" s="58">
        <v>6</v>
      </c>
      <c r="X20" s="58" t="s">
        <v>330</v>
      </c>
      <c r="Y20" s="59">
        <v>100</v>
      </c>
      <c r="Z20" s="58">
        <v>101</v>
      </c>
      <c r="AA20" s="58">
        <v>1</v>
      </c>
      <c r="AB20" s="58">
        <v>0</v>
      </c>
      <c r="AC20" s="58" t="s">
        <v>207</v>
      </c>
      <c r="AD20" s="58" t="s">
        <v>586</v>
      </c>
      <c r="AE20" s="58">
        <v>60068</v>
      </c>
      <c r="AF20" s="58">
        <v>60069</v>
      </c>
      <c r="AG20" s="58">
        <v>60070</v>
      </c>
      <c r="AH20" s="58">
        <v>9</v>
      </c>
      <c r="AI20" s="58">
        <v>9</v>
      </c>
      <c r="AJ20" s="58">
        <v>0</v>
      </c>
      <c r="AK20" s="58">
        <v>1</v>
      </c>
      <c r="AL20" s="58">
        <v>15101</v>
      </c>
      <c r="AM20" s="58" t="s">
        <v>526</v>
      </c>
      <c r="AN20" s="58"/>
    </row>
    <row r="21" spans="1:40">
      <c r="A21" s="58">
        <v>15110</v>
      </c>
      <c r="B21" s="58">
        <v>15100</v>
      </c>
      <c r="C21" s="58" t="s">
        <v>489</v>
      </c>
      <c r="D21" s="58">
        <v>10</v>
      </c>
      <c r="E21" s="58">
        <v>1040</v>
      </c>
      <c r="F21" s="58">
        <v>3</v>
      </c>
      <c r="G21" s="58" t="s">
        <v>366</v>
      </c>
      <c r="H21" s="58" t="s">
        <v>366</v>
      </c>
      <c r="I21" s="58">
        <v>1</v>
      </c>
      <c r="J21" s="58">
        <v>0</v>
      </c>
      <c r="K21" s="58">
        <v>0</v>
      </c>
      <c r="L21" s="58">
        <v>9</v>
      </c>
      <c r="M21" s="58">
        <v>1</v>
      </c>
      <c r="N21" s="58">
        <v>20100</v>
      </c>
      <c r="O21" s="58">
        <v>0</v>
      </c>
      <c r="P21" s="58">
        <v>0.4</v>
      </c>
      <c r="Q21" s="58">
        <v>0.2</v>
      </c>
      <c r="R21" s="58">
        <v>0.7</v>
      </c>
      <c r="S21" s="58">
        <v>0</v>
      </c>
      <c r="T21" s="58">
        <v>0</v>
      </c>
      <c r="U21" s="58">
        <v>6</v>
      </c>
      <c r="V21" s="58">
        <v>6</v>
      </c>
      <c r="W21" s="58">
        <v>6</v>
      </c>
      <c r="X21" s="58" t="s">
        <v>330</v>
      </c>
      <c r="Y21" s="59">
        <v>120</v>
      </c>
      <c r="Z21" s="58">
        <v>101</v>
      </c>
      <c r="AA21" s="58">
        <v>1</v>
      </c>
      <c r="AB21" s="58">
        <v>0</v>
      </c>
      <c r="AC21" s="58" t="s">
        <v>207</v>
      </c>
      <c r="AD21" s="58" t="s">
        <v>586</v>
      </c>
      <c r="AE21" s="58">
        <v>60068</v>
      </c>
      <c r="AF21" s="58">
        <v>60069</v>
      </c>
      <c r="AG21" s="58">
        <v>60070</v>
      </c>
      <c r="AH21" s="58">
        <v>10</v>
      </c>
      <c r="AI21" s="58">
        <v>10</v>
      </c>
      <c r="AJ21" s="58">
        <v>0</v>
      </c>
      <c r="AK21" s="58">
        <v>1</v>
      </c>
      <c r="AL21" s="58">
        <v>15101</v>
      </c>
      <c r="AM21" s="58" t="s">
        <v>526</v>
      </c>
      <c r="AN21" s="58"/>
    </row>
    <row r="22" spans="1:40">
      <c r="A22" s="58">
        <v>15201</v>
      </c>
      <c r="B22" s="58">
        <v>15200</v>
      </c>
      <c r="C22" s="58" t="s">
        <v>208</v>
      </c>
      <c r="D22" s="58">
        <v>1</v>
      </c>
      <c r="E22" s="58">
        <v>110</v>
      </c>
      <c r="F22" s="58">
        <v>3</v>
      </c>
      <c r="G22" s="58" t="s">
        <v>366</v>
      </c>
      <c r="H22" s="58" t="s">
        <v>366</v>
      </c>
      <c r="I22" s="58">
        <v>1</v>
      </c>
      <c r="J22" s="58">
        <v>4000</v>
      </c>
      <c r="K22" s="58">
        <v>30</v>
      </c>
      <c r="L22" s="58">
        <v>2</v>
      </c>
      <c r="M22" s="58">
        <v>1</v>
      </c>
      <c r="N22" s="58">
        <v>20100</v>
      </c>
      <c r="O22" s="58">
        <v>0</v>
      </c>
      <c r="P22" s="58">
        <v>0.5</v>
      </c>
      <c r="Q22" s="58">
        <v>0.5</v>
      </c>
      <c r="R22" s="58">
        <v>3</v>
      </c>
      <c r="S22" s="58">
        <v>0</v>
      </c>
      <c r="T22" s="58">
        <v>0</v>
      </c>
      <c r="U22" s="58">
        <v>12</v>
      </c>
      <c r="V22" s="58">
        <v>3</v>
      </c>
      <c r="W22" s="58">
        <v>11</v>
      </c>
      <c r="X22" s="58" t="s">
        <v>587</v>
      </c>
      <c r="Y22" s="46">
        <v>42</v>
      </c>
      <c r="Z22" s="58">
        <v>103</v>
      </c>
      <c r="AA22" s="58">
        <v>1</v>
      </c>
      <c r="AB22" s="58">
        <v>0</v>
      </c>
      <c r="AC22" s="58" t="s">
        <v>209</v>
      </c>
      <c r="AD22" s="58" t="s">
        <v>588</v>
      </c>
      <c r="AE22" s="58">
        <v>60071</v>
      </c>
      <c r="AF22" s="58">
        <v>60072</v>
      </c>
      <c r="AG22" s="58">
        <v>60073</v>
      </c>
      <c r="AH22" s="58">
        <v>1</v>
      </c>
      <c r="AI22" s="58">
        <v>1</v>
      </c>
      <c r="AJ22" s="58">
        <v>0</v>
      </c>
      <c r="AK22" s="58">
        <v>1</v>
      </c>
      <c r="AL22" s="58">
        <v>15201</v>
      </c>
      <c r="AM22" s="58" t="s">
        <v>526</v>
      </c>
      <c r="AN22" s="58"/>
    </row>
    <row r="23" spans="1:40">
      <c r="A23" s="58">
        <v>15202</v>
      </c>
      <c r="B23" s="58">
        <v>15200</v>
      </c>
      <c r="C23" s="58" t="s">
        <v>208</v>
      </c>
      <c r="D23" s="58">
        <v>2</v>
      </c>
      <c r="E23" s="58">
        <v>190</v>
      </c>
      <c r="F23" s="58">
        <v>3</v>
      </c>
      <c r="G23" s="58" t="s">
        <v>366</v>
      </c>
      <c r="H23" s="58" t="s">
        <v>366</v>
      </c>
      <c r="I23" s="58">
        <v>1</v>
      </c>
      <c r="J23" s="58">
        <v>6000</v>
      </c>
      <c r="K23" s="58">
        <v>120</v>
      </c>
      <c r="L23" s="58">
        <v>3</v>
      </c>
      <c r="M23" s="58">
        <v>1</v>
      </c>
      <c r="N23" s="58">
        <v>20100</v>
      </c>
      <c r="O23" s="58">
        <v>0</v>
      </c>
      <c r="P23" s="58">
        <v>0.5</v>
      </c>
      <c r="Q23" s="58">
        <v>0.5</v>
      </c>
      <c r="R23" s="58">
        <v>3</v>
      </c>
      <c r="S23" s="58">
        <v>0</v>
      </c>
      <c r="T23" s="58">
        <v>0</v>
      </c>
      <c r="U23" s="58">
        <v>12</v>
      </c>
      <c r="V23" s="58">
        <v>3</v>
      </c>
      <c r="W23" s="58">
        <v>11</v>
      </c>
      <c r="X23" s="58" t="s">
        <v>587</v>
      </c>
      <c r="Y23" s="46">
        <v>50</v>
      </c>
      <c r="Z23" s="58">
        <v>103</v>
      </c>
      <c r="AA23" s="58">
        <v>1</v>
      </c>
      <c r="AB23" s="58">
        <v>0</v>
      </c>
      <c r="AC23" s="58" t="s">
        <v>209</v>
      </c>
      <c r="AD23" s="58" t="s">
        <v>588</v>
      </c>
      <c r="AE23" s="58">
        <v>60071</v>
      </c>
      <c r="AF23" s="58">
        <v>60072</v>
      </c>
      <c r="AG23" s="58">
        <v>60073</v>
      </c>
      <c r="AH23" s="58">
        <v>2</v>
      </c>
      <c r="AI23" s="58">
        <v>2</v>
      </c>
      <c r="AJ23" s="58">
        <v>0</v>
      </c>
      <c r="AK23" s="58">
        <v>1</v>
      </c>
      <c r="AL23" s="58">
        <v>15201</v>
      </c>
      <c r="AM23" s="58" t="s">
        <v>526</v>
      </c>
      <c r="AN23" s="58"/>
    </row>
    <row r="24" spans="1:40">
      <c r="A24" s="58">
        <v>15203</v>
      </c>
      <c r="B24" s="58">
        <v>15200</v>
      </c>
      <c r="C24" s="58" t="s">
        <v>208</v>
      </c>
      <c r="D24" s="58">
        <v>3</v>
      </c>
      <c r="E24" s="58">
        <v>240</v>
      </c>
      <c r="F24" s="58">
        <v>3</v>
      </c>
      <c r="G24" s="58" t="s">
        <v>366</v>
      </c>
      <c r="H24" s="58" t="s">
        <v>366</v>
      </c>
      <c r="I24" s="58">
        <v>1</v>
      </c>
      <c r="J24" s="58">
        <v>8000</v>
      </c>
      <c r="K24" s="58">
        <v>360</v>
      </c>
      <c r="L24" s="58">
        <v>3</v>
      </c>
      <c r="M24" s="58">
        <v>1</v>
      </c>
      <c r="N24" s="58">
        <v>20100</v>
      </c>
      <c r="O24" s="58">
        <v>0</v>
      </c>
      <c r="P24" s="58">
        <v>0.5</v>
      </c>
      <c r="Q24" s="58">
        <v>0.5</v>
      </c>
      <c r="R24" s="58">
        <v>3</v>
      </c>
      <c r="S24" s="58">
        <v>0</v>
      </c>
      <c r="T24" s="58">
        <v>0</v>
      </c>
      <c r="U24" s="58">
        <v>12</v>
      </c>
      <c r="V24" s="58">
        <v>3</v>
      </c>
      <c r="W24" s="58">
        <v>11</v>
      </c>
      <c r="X24" s="58" t="s">
        <v>587</v>
      </c>
      <c r="Y24" s="46">
        <v>58</v>
      </c>
      <c r="Z24" s="58">
        <v>103</v>
      </c>
      <c r="AA24" s="58">
        <v>1</v>
      </c>
      <c r="AB24" s="58">
        <v>0</v>
      </c>
      <c r="AC24" s="58" t="s">
        <v>209</v>
      </c>
      <c r="AD24" s="58" t="s">
        <v>588</v>
      </c>
      <c r="AE24" s="58">
        <v>60071</v>
      </c>
      <c r="AF24" s="58">
        <v>60072</v>
      </c>
      <c r="AG24" s="58">
        <v>60073</v>
      </c>
      <c r="AH24" s="58">
        <v>3</v>
      </c>
      <c r="AI24" s="58">
        <v>3</v>
      </c>
      <c r="AJ24" s="58">
        <v>0</v>
      </c>
      <c r="AK24" s="58">
        <v>1</v>
      </c>
      <c r="AL24" s="58">
        <v>15201</v>
      </c>
      <c r="AM24" s="58" t="s">
        <v>526</v>
      </c>
      <c r="AN24" s="58"/>
    </row>
    <row r="25" spans="1:40">
      <c r="A25" s="58">
        <v>15204</v>
      </c>
      <c r="B25" s="58">
        <v>15200</v>
      </c>
      <c r="C25" s="58" t="s">
        <v>208</v>
      </c>
      <c r="D25" s="58">
        <v>4</v>
      </c>
      <c r="E25" s="58">
        <v>300</v>
      </c>
      <c r="F25" s="58">
        <v>3</v>
      </c>
      <c r="G25" s="58" t="s">
        <v>366</v>
      </c>
      <c r="H25" s="58" t="s">
        <v>366</v>
      </c>
      <c r="I25" s="58">
        <v>1</v>
      </c>
      <c r="J25" s="58">
        <v>15000</v>
      </c>
      <c r="K25" s="58">
        <v>720</v>
      </c>
      <c r="L25" s="58">
        <v>4</v>
      </c>
      <c r="M25" s="58">
        <v>1</v>
      </c>
      <c r="N25" s="58">
        <v>20100</v>
      </c>
      <c r="O25" s="58">
        <v>0</v>
      </c>
      <c r="P25" s="58">
        <v>0.5</v>
      </c>
      <c r="Q25" s="58">
        <v>0.5</v>
      </c>
      <c r="R25" s="58">
        <v>3</v>
      </c>
      <c r="S25" s="58">
        <v>0</v>
      </c>
      <c r="T25" s="58">
        <v>0</v>
      </c>
      <c r="U25" s="58">
        <v>12</v>
      </c>
      <c r="V25" s="58">
        <v>3</v>
      </c>
      <c r="W25" s="58">
        <v>11</v>
      </c>
      <c r="X25" s="58" t="s">
        <v>587</v>
      </c>
      <c r="Y25" s="46">
        <v>68</v>
      </c>
      <c r="Z25" s="58">
        <v>103</v>
      </c>
      <c r="AA25" s="58">
        <v>1</v>
      </c>
      <c r="AB25" s="58">
        <v>0</v>
      </c>
      <c r="AC25" s="58" t="s">
        <v>209</v>
      </c>
      <c r="AD25" s="58" t="s">
        <v>588</v>
      </c>
      <c r="AE25" s="58">
        <v>60071</v>
      </c>
      <c r="AF25" s="58">
        <v>60072</v>
      </c>
      <c r="AG25" s="58">
        <v>60073</v>
      </c>
      <c r="AH25" s="58">
        <v>4</v>
      </c>
      <c r="AI25" s="58">
        <v>4</v>
      </c>
      <c r="AJ25" s="58">
        <v>0</v>
      </c>
      <c r="AK25" s="58">
        <v>1</v>
      </c>
      <c r="AL25" s="58">
        <v>15201</v>
      </c>
      <c r="AM25" s="58" t="s">
        <v>526</v>
      </c>
      <c r="AN25" s="58"/>
    </row>
    <row r="26" spans="1:40">
      <c r="A26" s="58">
        <v>15205</v>
      </c>
      <c r="B26" s="58">
        <v>15200</v>
      </c>
      <c r="C26" s="58" t="s">
        <v>208</v>
      </c>
      <c r="D26" s="58">
        <v>5</v>
      </c>
      <c r="E26" s="58">
        <v>380</v>
      </c>
      <c r="F26" s="58">
        <v>3</v>
      </c>
      <c r="G26" s="58" t="s">
        <v>366</v>
      </c>
      <c r="H26" s="58" t="s">
        <v>366</v>
      </c>
      <c r="I26" s="58">
        <v>1</v>
      </c>
      <c r="J26" s="58">
        <v>23000</v>
      </c>
      <c r="K26" s="58">
        <v>1440</v>
      </c>
      <c r="L26" s="58">
        <v>6</v>
      </c>
      <c r="M26" s="58">
        <v>1</v>
      </c>
      <c r="N26" s="58">
        <v>20100</v>
      </c>
      <c r="O26" s="58">
        <v>0</v>
      </c>
      <c r="P26" s="58">
        <v>0.5</v>
      </c>
      <c r="Q26" s="58">
        <v>0.5</v>
      </c>
      <c r="R26" s="58">
        <v>3</v>
      </c>
      <c r="S26" s="58">
        <v>0</v>
      </c>
      <c r="T26" s="58">
        <v>0</v>
      </c>
      <c r="U26" s="58">
        <v>12</v>
      </c>
      <c r="V26" s="58">
        <v>3</v>
      </c>
      <c r="W26" s="58">
        <v>11</v>
      </c>
      <c r="X26" s="58" t="s">
        <v>587</v>
      </c>
      <c r="Y26" s="46">
        <v>78</v>
      </c>
      <c r="Z26" s="58">
        <v>103</v>
      </c>
      <c r="AA26" s="58">
        <v>1</v>
      </c>
      <c r="AB26" s="58">
        <v>0</v>
      </c>
      <c r="AC26" s="58" t="s">
        <v>209</v>
      </c>
      <c r="AD26" s="58" t="s">
        <v>588</v>
      </c>
      <c r="AE26" s="58">
        <v>60071</v>
      </c>
      <c r="AF26" s="58">
        <v>60072</v>
      </c>
      <c r="AG26" s="58">
        <v>60073</v>
      </c>
      <c r="AH26" s="58">
        <v>5</v>
      </c>
      <c r="AI26" s="58">
        <v>5</v>
      </c>
      <c r="AJ26" s="58">
        <v>0</v>
      </c>
      <c r="AK26" s="58">
        <v>1</v>
      </c>
      <c r="AL26" s="58">
        <v>15201</v>
      </c>
      <c r="AM26" s="58" t="s">
        <v>526</v>
      </c>
      <c r="AN26" s="58"/>
    </row>
    <row r="27" spans="1:40">
      <c r="A27" s="58">
        <v>15206</v>
      </c>
      <c r="B27" s="58">
        <v>15200</v>
      </c>
      <c r="C27" s="58" t="s">
        <v>208</v>
      </c>
      <c r="D27" s="58">
        <v>6</v>
      </c>
      <c r="E27" s="58">
        <v>450</v>
      </c>
      <c r="F27" s="58">
        <v>3</v>
      </c>
      <c r="G27" s="58" t="s">
        <v>366</v>
      </c>
      <c r="H27" s="58" t="s">
        <v>366</v>
      </c>
      <c r="I27" s="58">
        <v>1</v>
      </c>
      <c r="J27" s="58">
        <v>34000</v>
      </c>
      <c r="K27" s="58">
        <v>2160</v>
      </c>
      <c r="L27" s="58">
        <v>7</v>
      </c>
      <c r="M27" s="58">
        <v>1</v>
      </c>
      <c r="N27" s="58">
        <v>20100</v>
      </c>
      <c r="O27" s="58">
        <v>0</v>
      </c>
      <c r="P27" s="58">
        <v>0.5</v>
      </c>
      <c r="Q27" s="58">
        <v>0.5</v>
      </c>
      <c r="R27" s="58">
        <v>3</v>
      </c>
      <c r="S27" s="58">
        <v>0</v>
      </c>
      <c r="T27" s="58">
        <v>0</v>
      </c>
      <c r="U27" s="58">
        <v>12</v>
      </c>
      <c r="V27" s="58">
        <v>3</v>
      </c>
      <c r="W27" s="58">
        <v>11</v>
      </c>
      <c r="X27" s="58" t="s">
        <v>587</v>
      </c>
      <c r="Y27" s="46">
        <v>88</v>
      </c>
      <c r="Z27" s="58">
        <v>103</v>
      </c>
      <c r="AA27" s="58">
        <v>1</v>
      </c>
      <c r="AB27" s="58">
        <v>0</v>
      </c>
      <c r="AC27" s="58" t="s">
        <v>209</v>
      </c>
      <c r="AD27" s="58" t="s">
        <v>588</v>
      </c>
      <c r="AE27" s="58">
        <v>60071</v>
      </c>
      <c r="AF27" s="58">
        <v>60072</v>
      </c>
      <c r="AG27" s="58">
        <v>60073</v>
      </c>
      <c r="AH27" s="58">
        <v>6</v>
      </c>
      <c r="AI27" s="58">
        <v>6</v>
      </c>
      <c r="AJ27" s="58">
        <v>0</v>
      </c>
      <c r="AK27" s="58">
        <v>1</v>
      </c>
      <c r="AL27" s="58">
        <v>15201</v>
      </c>
      <c r="AM27" s="58" t="s">
        <v>526</v>
      </c>
      <c r="AN27" s="58"/>
    </row>
    <row r="28" spans="1:40">
      <c r="A28" s="58">
        <v>15207</v>
      </c>
      <c r="B28" s="58">
        <v>15200</v>
      </c>
      <c r="C28" s="58" t="s">
        <v>208</v>
      </c>
      <c r="D28" s="58">
        <v>7</v>
      </c>
      <c r="E28" s="58">
        <v>530</v>
      </c>
      <c r="F28" s="58">
        <v>3</v>
      </c>
      <c r="G28" s="58" t="s">
        <v>366</v>
      </c>
      <c r="H28" s="58" t="s">
        <v>366</v>
      </c>
      <c r="I28" s="58">
        <v>1</v>
      </c>
      <c r="J28" s="58">
        <v>50000</v>
      </c>
      <c r="K28" s="58">
        <v>2880</v>
      </c>
      <c r="L28" s="58">
        <v>7</v>
      </c>
      <c r="M28" s="58">
        <v>1</v>
      </c>
      <c r="N28" s="58">
        <v>20100</v>
      </c>
      <c r="O28" s="58">
        <v>0</v>
      </c>
      <c r="P28" s="58">
        <v>0.5</v>
      </c>
      <c r="Q28" s="58">
        <v>0.5</v>
      </c>
      <c r="R28" s="58">
        <v>3</v>
      </c>
      <c r="S28" s="58">
        <v>0</v>
      </c>
      <c r="T28" s="58">
        <v>0</v>
      </c>
      <c r="U28" s="58">
        <v>12</v>
      </c>
      <c r="V28" s="58">
        <v>3</v>
      </c>
      <c r="W28" s="58">
        <v>11</v>
      </c>
      <c r="X28" s="58" t="s">
        <v>587</v>
      </c>
      <c r="Y28" s="46">
        <v>97</v>
      </c>
      <c r="Z28" s="58">
        <v>103</v>
      </c>
      <c r="AA28" s="58">
        <v>1</v>
      </c>
      <c r="AB28" s="58">
        <v>0</v>
      </c>
      <c r="AC28" s="58" t="s">
        <v>209</v>
      </c>
      <c r="AD28" s="58" t="s">
        <v>588</v>
      </c>
      <c r="AE28" s="58">
        <v>60071</v>
      </c>
      <c r="AF28" s="58">
        <v>60072</v>
      </c>
      <c r="AG28" s="58">
        <v>60073</v>
      </c>
      <c r="AH28" s="58">
        <v>7</v>
      </c>
      <c r="AI28" s="58">
        <v>7</v>
      </c>
      <c r="AJ28" s="58">
        <v>0</v>
      </c>
      <c r="AK28" s="58">
        <v>1</v>
      </c>
      <c r="AL28" s="58">
        <v>15201</v>
      </c>
      <c r="AM28" s="58" t="s">
        <v>526</v>
      </c>
      <c r="AN28" s="58"/>
    </row>
    <row r="29" spans="1:40">
      <c r="A29" s="58">
        <v>15208</v>
      </c>
      <c r="B29" s="58">
        <v>15200</v>
      </c>
      <c r="C29" s="58" t="s">
        <v>208</v>
      </c>
      <c r="D29" s="58">
        <v>8</v>
      </c>
      <c r="E29" s="58">
        <v>640</v>
      </c>
      <c r="F29" s="58">
        <v>3</v>
      </c>
      <c r="G29" s="58" t="s">
        <v>366</v>
      </c>
      <c r="H29" s="58" t="s">
        <v>366</v>
      </c>
      <c r="I29" s="58">
        <v>1</v>
      </c>
      <c r="J29" s="58">
        <v>0</v>
      </c>
      <c r="K29" s="58">
        <v>0</v>
      </c>
      <c r="L29" s="58">
        <v>8</v>
      </c>
      <c r="M29" s="58">
        <v>1</v>
      </c>
      <c r="N29" s="58">
        <v>20100</v>
      </c>
      <c r="O29" s="58">
        <v>0</v>
      </c>
      <c r="P29" s="58">
        <v>0.5</v>
      </c>
      <c r="Q29" s="58">
        <v>0.5</v>
      </c>
      <c r="R29" s="58">
        <v>3</v>
      </c>
      <c r="S29" s="58">
        <v>0</v>
      </c>
      <c r="T29" s="58">
        <v>0</v>
      </c>
      <c r="U29" s="58">
        <v>12</v>
      </c>
      <c r="V29" s="58">
        <v>3</v>
      </c>
      <c r="W29" s="58">
        <v>11</v>
      </c>
      <c r="X29" s="58" t="s">
        <v>587</v>
      </c>
      <c r="Y29" s="46">
        <v>106</v>
      </c>
      <c r="Z29" s="58">
        <v>103</v>
      </c>
      <c r="AA29" s="58">
        <v>1</v>
      </c>
      <c r="AB29" s="58">
        <v>0</v>
      </c>
      <c r="AC29" s="58" t="s">
        <v>209</v>
      </c>
      <c r="AD29" s="58" t="s">
        <v>588</v>
      </c>
      <c r="AE29" s="58">
        <v>60071</v>
      </c>
      <c r="AF29" s="58">
        <v>60072</v>
      </c>
      <c r="AG29" s="58">
        <v>60073</v>
      </c>
      <c r="AH29" s="58">
        <v>8</v>
      </c>
      <c r="AI29" s="58">
        <v>8</v>
      </c>
      <c r="AJ29" s="58">
        <v>0</v>
      </c>
      <c r="AK29" s="58">
        <v>1</v>
      </c>
      <c r="AL29" s="58">
        <v>15201</v>
      </c>
      <c r="AM29" s="58" t="s">
        <v>526</v>
      </c>
      <c r="AN29" s="58"/>
    </row>
    <row r="30" spans="1:40">
      <c r="A30" s="58">
        <v>15301</v>
      </c>
      <c r="B30" s="58">
        <v>15300</v>
      </c>
      <c r="C30" s="58" t="s">
        <v>210</v>
      </c>
      <c r="D30" s="58">
        <v>1</v>
      </c>
      <c r="E30" s="58">
        <v>110</v>
      </c>
      <c r="F30" s="58">
        <v>3</v>
      </c>
      <c r="G30" s="58" t="s">
        <v>366</v>
      </c>
      <c r="H30" s="58" t="s">
        <v>366</v>
      </c>
      <c r="I30" s="58">
        <v>1</v>
      </c>
      <c r="J30" s="58">
        <v>10000</v>
      </c>
      <c r="K30" s="58">
        <v>60</v>
      </c>
      <c r="L30" s="58">
        <v>4</v>
      </c>
      <c r="M30" s="58">
        <v>1</v>
      </c>
      <c r="N30" s="58">
        <v>20100</v>
      </c>
      <c r="O30" s="58">
        <v>1</v>
      </c>
      <c r="P30" s="58">
        <v>0.6</v>
      </c>
      <c r="Q30" s="58">
        <v>0.2</v>
      </c>
      <c r="R30" s="58">
        <v>3.5</v>
      </c>
      <c r="S30" s="58">
        <v>0</v>
      </c>
      <c r="T30" s="58">
        <v>0.2</v>
      </c>
      <c r="U30" s="58">
        <v>9</v>
      </c>
      <c r="V30" s="58">
        <v>9</v>
      </c>
      <c r="W30" s="58">
        <v>9</v>
      </c>
      <c r="X30" s="58" t="s">
        <v>330</v>
      </c>
      <c r="Y30" s="46">
        <v>6</v>
      </c>
      <c r="Z30" s="58">
        <v>104</v>
      </c>
      <c r="AA30" s="58">
        <v>1</v>
      </c>
      <c r="AB30" s="58">
        <v>0</v>
      </c>
      <c r="AC30" s="58" t="s">
        <v>211</v>
      </c>
      <c r="AD30" s="58" t="s">
        <v>589</v>
      </c>
      <c r="AE30" s="58">
        <v>60074</v>
      </c>
      <c r="AF30" s="58">
        <v>60104</v>
      </c>
      <c r="AG30" s="58">
        <v>60075</v>
      </c>
      <c r="AH30" s="58">
        <v>1</v>
      </c>
      <c r="AI30" s="58">
        <v>0</v>
      </c>
      <c r="AJ30" s="58">
        <v>0</v>
      </c>
      <c r="AK30" s="58">
        <v>1</v>
      </c>
      <c r="AL30" s="58">
        <v>15301</v>
      </c>
      <c r="AM30" s="58" t="s">
        <v>526</v>
      </c>
      <c r="AN30" s="58"/>
    </row>
    <row r="31" spans="1:40">
      <c r="A31" s="58">
        <v>15302</v>
      </c>
      <c r="B31" s="58">
        <v>15300</v>
      </c>
      <c r="C31" s="58" t="s">
        <v>210</v>
      </c>
      <c r="D31" s="58">
        <v>2</v>
      </c>
      <c r="E31" s="58">
        <v>210</v>
      </c>
      <c r="F31" s="58">
        <v>3</v>
      </c>
      <c r="G31" s="58" t="s">
        <v>366</v>
      </c>
      <c r="H31" s="58" t="s">
        <v>366</v>
      </c>
      <c r="I31" s="58">
        <v>1</v>
      </c>
      <c r="J31" s="58">
        <v>15000</v>
      </c>
      <c r="K31" s="58">
        <v>180</v>
      </c>
      <c r="L31" s="58">
        <v>5</v>
      </c>
      <c r="M31" s="58">
        <v>1</v>
      </c>
      <c r="N31" s="58">
        <v>20100</v>
      </c>
      <c r="O31" s="58">
        <v>1</v>
      </c>
      <c r="P31" s="58">
        <v>0.6</v>
      </c>
      <c r="Q31" s="58">
        <v>0.2</v>
      </c>
      <c r="R31" s="58">
        <v>3.5</v>
      </c>
      <c r="S31" s="58">
        <v>0</v>
      </c>
      <c r="T31" s="58">
        <v>0.2</v>
      </c>
      <c r="U31" s="58">
        <v>9</v>
      </c>
      <c r="V31" s="58">
        <v>9</v>
      </c>
      <c r="W31" s="58">
        <v>9</v>
      </c>
      <c r="X31" s="58" t="s">
        <v>330</v>
      </c>
      <c r="Y31" s="46">
        <v>7</v>
      </c>
      <c r="Z31" s="58">
        <v>104</v>
      </c>
      <c r="AA31" s="58">
        <v>1</v>
      </c>
      <c r="AB31" s="58">
        <v>0</v>
      </c>
      <c r="AC31" s="58" t="s">
        <v>211</v>
      </c>
      <c r="AD31" s="58" t="s">
        <v>589</v>
      </c>
      <c r="AE31" s="58">
        <v>60074</v>
      </c>
      <c r="AF31" s="58">
        <v>60104</v>
      </c>
      <c r="AG31" s="58">
        <v>60075</v>
      </c>
      <c r="AH31" s="58">
        <v>2</v>
      </c>
      <c r="AI31" s="58">
        <v>0</v>
      </c>
      <c r="AJ31" s="58">
        <v>0</v>
      </c>
      <c r="AK31" s="58">
        <v>1</v>
      </c>
      <c r="AL31" s="58">
        <v>15301</v>
      </c>
      <c r="AM31" s="58" t="s">
        <v>526</v>
      </c>
      <c r="AN31" s="58"/>
    </row>
    <row r="32" spans="1:40">
      <c r="A32" s="58">
        <v>15303</v>
      </c>
      <c r="B32" s="58">
        <v>15300</v>
      </c>
      <c r="C32" s="58" t="s">
        <v>210</v>
      </c>
      <c r="D32" s="58">
        <v>3</v>
      </c>
      <c r="E32" s="58">
        <v>260</v>
      </c>
      <c r="F32" s="58">
        <v>3</v>
      </c>
      <c r="G32" s="58" t="s">
        <v>366</v>
      </c>
      <c r="H32" s="58" t="s">
        <v>366</v>
      </c>
      <c r="I32" s="58">
        <v>1</v>
      </c>
      <c r="J32" s="58">
        <v>20000</v>
      </c>
      <c r="K32" s="58">
        <v>480</v>
      </c>
      <c r="L32" s="58">
        <v>5</v>
      </c>
      <c r="M32" s="58">
        <v>1</v>
      </c>
      <c r="N32" s="58">
        <v>20100</v>
      </c>
      <c r="O32" s="58">
        <v>1</v>
      </c>
      <c r="P32" s="58">
        <v>0.6</v>
      </c>
      <c r="Q32" s="58">
        <v>0.2</v>
      </c>
      <c r="R32" s="58">
        <v>3.5</v>
      </c>
      <c r="S32" s="58">
        <v>0</v>
      </c>
      <c r="T32" s="58">
        <v>0.2</v>
      </c>
      <c r="U32" s="58">
        <v>9</v>
      </c>
      <c r="V32" s="58">
        <v>9</v>
      </c>
      <c r="W32" s="58">
        <v>9</v>
      </c>
      <c r="X32" s="58" t="s">
        <v>330</v>
      </c>
      <c r="Y32" s="46">
        <v>9</v>
      </c>
      <c r="Z32" s="58">
        <v>104</v>
      </c>
      <c r="AA32" s="58">
        <v>1</v>
      </c>
      <c r="AB32" s="58">
        <v>0</v>
      </c>
      <c r="AC32" s="58" t="s">
        <v>211</v>
      </c>
      <c r="AD32" s="58" t="s">
        <v>589</v>
      </c>
      <c r="AE32" s="58">
        <v>60074</v>
      </c>
      <c r="AF32" s="58">
        <v>60104</v>
      </c>
      <c r="AG32" s="58">
        <v>60075</v>
      </c>
      <c r="AH32" s="58">
        <v>3</v>
      </c>
      <c r="AI32" s="58">
        <v>0</v>
      </c>
      <c r="AJ32" s="58">
        <v>0</v>
      </c>
      <c r="AK32" s="58">
        <v>1</v>
      </c>
      <c r="AL32" s="58">
        <v>15301</v>
      </c>
      <c r="AM32" s="58" t="s">
        <v>526</v>
      </c>
      <c r="AN32" s="58"/>
    </row>
    <row r="33" spans="1:40">
      <c r="A33" s="58">
        <v>15304</v>
      </c>
      <c r="B33" s="58">
        <v>15300</v>
      </c>
      <c r="C33" s="58" t="s">
        <v>210</v>
      </c>
      <c r="D33" s="58">
        <v>4</v>
      </c>
      <c r="E33" s="58">
        <v>350</v>
      </c>
      <c r="F33" s="58">
        <v>3</v>
      </c>
      <c r="G33" s="58" t="s">
        <v>366</v>
      </c>
      <c r="H33" s="58" t="s">
        <v>366</v>
      </c>
      <c r="I33" s="58">
        <v>1</v>
      </c>
      <c r="J33" s="58">
        <v>30000</v>
      </c>
      <c r="K33" s="58">
        <v>960</v>
      </c>
      <c r="L33" s="58">
        <v>6</v>
      </c>
      <c r="M33" s="58">
        <v>1</v>
      </c>
      <c r="N33" s="58">
        <v>20100</v>
      </c>
      <c r="O33" s="58">
        <v>1</v>
      </c>
      <c r="P33" s="58">
        <v>0.6</v>
      </c>
      <c r="Q33" s="58">
        <v>0.2</v>
      </c>
      <c r="R33" s="58">
        <v>3.5</v>
      </c>
      <c r="S33" s="58">
        <v>0</v>
      </c>
      <c r="T33" s="58">
        <v>0.2</v>
      </c>
      <c r="U33" s="58">
        <v>9</v>
      </c>
      <c r="V33" s="58">
        <v>9</v>
      </c>
      <c r="W33" s="58">
        <v>9</v>
      </c>
      <c r="X33" s="58" t="s">
        <v>330</v>
      </c>
      <c r="Y33" s="46">
        <v>10</v>
      </c>
      <c r="Z33" s="58">
        <v>104</v>
      </c>
      <c r="AA33" s="58">
        <v>1</v>
      </c>
      <c r="AB33" s="58">
        <v>0</v>
      </c>
      <c r="AC33" s="58" t="s">
        <v>211</v>
      </c>
      <c r="AD33" s="58" t="s">
        <v>589</v>
      </c>
      <c r="AE33" s="58">
        <v>60074</v>
      </c>
      <c r="AF33" s="58">
        <v>60104</v>
      </c>
      <c r="AG33" s="58">
        <v>60075</v>
      </c>
      <c r="AH33" s="58">
        <v>4</v>
      </c>
      <c r="AI33" s="58">
        <v>0</v>
      </c>
      <c r="AJ33" s="58">
        <v>0</v>
      </c>
      <c r="AK33" s="58">
        <v>1</v>
      </c>
      <c r="AL33" s="58">
        <v>15301</v>
      </c>
      <c r="AM33" s="58" t="s">
        <v>526</v>
      </c>
      <c r="AN33" s="58"/>
    </row>
    <row r="34" spans="1:40">
      <c r="A34" s="58">
        <v>15305</v>
      </c>
      <c r="B34" s="58">
        <v>15300</v>
      </c>
      <c r="C34" s="58" t="s">
        <v>210</v>
      </c>
      <c r="D34" s="58">
        <v>5</v>
      </c>
      <c r="E34" s="58">
        <v>450</v>
      </c>
      <c r="F34" s="58">
        <v>3</v>
      </c>
      <c r="G34" s="58" t="s">
        <v>366</v>
      </c>
      <c r="H34" s="58" t="s">
        <v>366</v>
      </c>
      <c r="I34" s="58">
        <v>1</v>
      </c>
      <c r="J34" s="58">
        <v>40000</v>
      </c>
      <c r="K34" s="58">
        <v>1440</v>
      </c>
      <c r="L34" s="58">
        <v>6</v>
      </c>
      <c r="M34" s="58">
        <v>1</v>
      </c>
      <c r="N34" s="58">
        <v>20100</v>
      </c>
      <c r="O34" s="58">
        <v>1</v>
      </c>
      <c r="P34" s="58">
        <v>0.6</v>
      </c>
      <c r="Q34" s="58">
        <v>0.2</v>
      </c>
      <c r="R34" s="58">
        <v>3.5</v>
      </c>
      <c r="S34" s="58">
        <v>0</v>
      </c>
      <c r="T34" s="58">
        <v>0.2</v>
      </c>
      <c r="U34" s="58">
        <v>9</v>
      </c>
      <c r="V34" s="58">
        <v>9</v>
      </c>
      <c r="W34" s="58">
        <v>9</v>
      </c>
      <c r="X34" s="58" t="s">
        <v>330</v>
      </c>
      <c r="Y34" s="46">
        <v>12</v>
      </c>
      <c r="Z34" s="58">
        <v>105</v>
      </c>
      <c r="AA34" s="58">
        <v>1</v>
      </c>
      <c r="AB34" s="58">
        <v>0</v>
      </c>
      <c r="AC34" s="58" t="s">
        <v>211</v>
      </c>
      <c r="AD34" s="58" t="s">
        <v>589</v>
      </c>
      <c r="AE34" s="58">
        <v>60074</v>
      </c>
      <c r="AF34" s="58">
        <v>60104</v>
      </c>
      <c r="AG34" s="58">
        <v>60075</v>
      </c>
      <c r="AH34" s="58">
        <v>5</v>
      </c>
      <c r="AI34" s="58">
        <v>0</v>
      </c>
      <c r="AJ34" s="58">
        <v>0</v>
      </c>
      <c r="AK34" s="58">
        <v>1</v>
      </c>
      <c r="AL34" s="58">
        <v>15301</v>
      </c>
      <c r="AM34" s="58" t="s">
        <v>526</v>
      </c>
      <c r="AN34" s="58"/>
    </row>
    <row r="35" spans="1:40">
      <c r="A35" s="58">
        <v>15306</v>
      </c>
      <c r="B35" s="58">
        <v>15300</v>
      </c>
      <c r="C35" s="58" t="s">
        <v>210</v>
      </c>
      <c r="D35" s="58">
        <v>6</v>
      </c>
      <c r="E35" s="58">
        <v>560</v>
      </c>
      <c r="F35" s="58">
        <v>3</v>
      </c>
      <c r="G35" s="58" t="s">
        <v>366</v>
      </c>
      <c r="H35" s="58" t="s">
        <v>366</v>
      </c>
      <c r="I35" s="58">
        <v>1</v>
      </c>
      <c r="J35" s="58">
        <v>60000</v>
      </c>
      <c r="K35" s="58">
        <v>2880</v>
      </c>
      <c r="L35" s="58">
        <v>6</v>
      </c>
      <c r="M35" s="58">
        <v>1</v>
      </c>
      <c r="N35" s="58">
        <v>20100</v>
      </c>
      <c r="O35" s="58">
        <v>1</v>
      </c>
      <c r="P35" s="58">
        <v>0.6</v>
      </c>
      <c r="Q35" s="58">
        <v>0.2</v>
      </c>
      <c r="R35" s="58">
        <v>3.5</v>
      </c>
      <c r="S35" s="58">
        <v>0</v>
      </c>
      <c r="T35" s="58">
        <v>0.2</v>
      </c>
      <c r="U35" s="58">
        <v>9</v>
      </c>
      <c r="V35" s="58">
        <v>9</v>
      </c>
      <c r="W35" s="58">
        <v>9</v>
      </c>
      <c r="X35" s="58" t="s">
        <v>330</v>
      </c>
      <c r="Y35" s="46">
        <v>16</v>
      </c>
      <c r="Z35" s="58">
        <v>105</v>
      </c>
      <c r="AA35" s="58">
        <v>1</v>
      </c>
      <c r="AB35" s="58">
        <v>0</v>
      </c>
      <c r="AC35" s="58" t="s">
        <v>211</v>
      </c>
      <c r="AD35" s="58" t="s">
        <v>589</v>
      </c>
      <c r="AE35" s="58">
        <v>60074</v>
      </c>
      <c r="AF35" s="58">
        <v>60104</v>
      </c>
      <c r="AG35" s="58">
        <v>60075</v>
      </c>
      <c r="AH35" s="58">
        <v>6</v>
      </c>
      <c r="AI35" s="58">
        <v>0</v>
      </c>
      <c r="AJ35" s="58">
        <v>0</v>
      </c>
      <c r="AK35" s="58">
        <v>1</v>
      </c>
      <c r="AL35" s="58">
        <v>15301</v>
      </c>
      <c r="AM35" s="58" t="s">
        <v>526</v>
      </c>
      <c r="AN35" s="58"/>
    </row>
    <row r="36" spans="1:40">
      <c r="A36" s="58">
        <v>15307</v>
      </c>
      <c r="B36" s="58">
        <v>15300</v>
      </c>
      <c r="C36" s="58" t="s">
        <v>210</v>
      </c>
      <c r="D36" s="58">
        <v>7</v>
      </c>
      <c r="E36" s="58">
        <v>690</v>
      </c>
      <c r="F36" s="58">
        <v>3</v>
      </c>
      <c r="G36" s="58" t="s">
        <v>366</v>
      </c>
      <c r="H36" s="58" t="s">
        <v>366</v>
      </c>
      <c r="I36" s="58">
        <v>1</v>
      </c>
      <c r="J36" s="58">
        <v>80000</v>
      </c>
      <c r="K36" s="58">
        <v>3600</v>
      </c>
      <c r="L36" s="58">
        <v>7</v>
      </c>
      <c r="M36" s="58">
        <v>1</v>
      </c>
      <c r="N36" s="58">
        <v>20100</v>
      </c>
      <c r="O36" s="58">
        <v>1</v>
      </c>
      <c r="P36" s="58">
        <v>0.6</v>
      </c>
      <c r="Q36" s="58">
        <v>0.2</v>
      </c>
      <c r="R36" s="58">
        <v>3.5</v>
      </c>
      <c r="S36" s="58">
        <v>0</v>
      </c>
      <c r="T36" s="58">
        <v>0.2</v>
      </c>
      <c r="U36" s="58">
        <v>9</v>
      </c>
      <c r="V36" s="58">
        <v>9</v>
      </c>
      <c r="W36" s="58">
        <v>9</v>
      </c>
      <c r="X36" s="58" t="s">
        <v>330</v>
      </c>
      <c r="Y36" s="46">
        <v>20</v>
      </c>
      <c r="Z36" s="58">
        <v>105</v>
      </c>
      <c r="AA36" s="58">
        <v>1</v>
      </c>
      <c r="AB36" s="58">
        <v>0</v>
      </c>
      <c r="AC36" s="58" t="s">
        <v>211</v>
      </c>
      <c r="AD36" s="58" t="s">
        <v>589</v>
      </c>
      <c r="AE36" s="58">
        <v>60074</v>
      </c>
      <c r="AF36" s="58">
        <v>60104</v>
      </c>
      <c r="AG36" s="58">
        <v>60075</v>
      </c>
      <c r="AH36" s="58">
        <v>7</v>
      </c>
      <c r="AI36" s="58">
        <v>0</v>
      </c>
      <c r="AJ36" s="58">
        <v>0</v>
      </c>
      <c r="AK36" s="58">
        <v>1</v>
      </c>
      <c r="AL36" s="58">
        <v>15301</v>
      </c>
      <c r="AM36" s="58" t="s">
        <v>526</v>
      </c>
      <c r="AN36" s="58"/>
    </row>
    <row r="37" spans="1:40">
      <c r="A37" s="58">
        <v>15308</v>
      </c>
      <c r="B37" s="58">
        <v>15300</v>
      </c>
      <c r="C37" s="58" t="s">
        <v>210</v>
      </c>
      <c r="D37" s="58">
        <v>8</v>
      </c>
      <c r="E37" s="58">
        <v>830</v>
      </c>
      <c r="F37" s="58">
        <v>3</v>
      </c>
      <c r="G37" s="58" t="s">
        <v>366</v>
      </c>
      <c r="H37" s="58" t="s">
        <v>366</v>
      </c>
      <c r="I37" s="58">
        <v>1</v>
      </c>
      <c r="J37" s="58">
        <v>0</v>
      </c>
      <c r="K37" s="58">
        <v>0</v>
      </c>
      <c r="L37" s="58">
        <v>8</v>
      </c>
      <c r="M37" s="58">
        <v>1</v>
      </c>
      <c r="N37" s="58">
        <v>20100</v>
      </c>
      <c r="O37" s="58">
        <v>1</v>
      </c>
      <c r="P37" s="58">
        <v>0.6</v>
      </c>
      <c r="Q37" s="58">
        <v>0.2</v>
      </c>
      <c r="R37" s="58">
        <v>3.5</v>
      </c>
      <c r="S37" s="58">
        <v>0</v>
      </c>
      <c r="T37" s="58">
        <v>0.2</v>
      </c>
      <c r="U37" s="58">
        <v>9</v>
      </c>
      <c r="V37" s="58">
        <v>9</v>
      </c>
      <c r="W37" s="58">
        <v>9</v>
      </c>
      <c r="X37" s="58" t="s">
        <v>330</v>
      </c>
      <c r="Y37" s="46">
        <v>24</v>
      </c>
      <c r="Z37" s="58">
        <v>105</v>
      </c>
      <c r="AA37" s="58">
        <v>1</v>
      </c>
      <c r="AB37" s="58">
        <v>0</v>
      </c>
      <c r="AC37" s="58" t="s">
        <v>211</v>
      </c>
      <c r="AD37" s="58" t="s">
        <v>589</v>
      </c>
      <c r="AE37" s="58">
        <v>60074</v>
      </c>
      <c r="AF37" s="58">
        <v>60104</v>
      </c>
      <c r="AG37" s="58">
        <v>60075</v>
      </c>
      <c r="AH37" s="58">
        <v>8</v>
      </c>
      <c r="AI37" s="58">
        <v>0</v>
      </c>
      <c r="AJ37" s="58">
        <v>0</v>
      </c>
      <c r="AK37" s="58">
        <v>1</v>
      </c>
      <c r="AL37" s="58">
        <v>15301</v>
      </c>
      <c r="AM37" s="58" t="s">
        <v>526</v>
      </c>
      <c r="AN37" s="58"/>
    </row>
    <row r="38" spans="1:40">
      <c r="A38" s="58">
        <v>15401</v>
      </c>
      <c r="B38" s="58">
        <v>15400</v>
      </c>
      <c r="C38" s="58" t="s">
        <v>590</v>
      </c>
      <c r="D38" s="58">
        <v>1</v>
      </c>
      <c r="E38" s="58">
        <v>560</v>
      </c>
      <c r="F38" s="58">
        <v>3</v>
      </c>
      <c r="G38" s="58" t="s">
        <v>366</v>
      </c>
      <c r="H38" s="58" t="s">
        <v>366</v>
      </c>
      <c r="I38" s="58">
        <v>1</v>
      </c>
      <c r="J38" s="58">
        <v>5000</v>
      </c>
      <c r="K38" s="58">
        <v>120</v>
      </c>
      <c r="L38" s="58">
        <v>4</v>
      </c>
      <c r="M38" s="58">
        <v>1</v>
      </c>
      <c r="N38" s="58">
        <v>20100</v>
      </c>
      <c r="O38" s="58">
        <v>0</v>
      </c>
      <c r="P38" s="58">
        <v>0.7</v>
      </c>
      <c r="Q38" s="58">
        <v>0</v>
      </c>
      <c r="R38" s="58">
        <v>3</v>
      </c>
      <c r="S38" s="58">
        <v>0</v>
      </c>
      <c r="T38" s="58">
        <v>0</v>
      </c>
      <c r="U38" s="58">
        <v>9</v>
      </c>
      <c r="V38" s="58">
        <v>9</v>
      </c>
      <c r="W38" s="58">
        <v>9</v>
      </c>
      <c r="X38" s="58" t="s">
        <v>330</v>
      </c>
      <c r="Y38" s="59">
        <v>40</v>
      </c>
      <c r="Z38" s="58">
        <v>102</v>
      </c>
      <c r="AA38" s="58">
        <v>1</v>
      </c>
      <c r="AB38" s="58">
        <v>0</v>
      </c>
      <c r="AC38" s="58" t="s">
        <v>213</v>
      </c>
      <c r="AD38" s="58" t="s">
        <v>591</v>
      </c>
      <c r="AE38" s="58">
        <v>60076</v>
      </c>
      <c r="AF38" s="58">
        <v>60077</v>
      </c>
      <c r="AG38" s="58">
        <v>60078</v>
      </c>
      <c r="AH38" s="58">
        <v>1</v>
      </c>
      <c r="AI38" s="58">
        <v>1</v>
      </c>
      <c r="AJ38" s="58">
        <v>0</v>
      </c>
      <c r="AK38" s="58">
        <v>1</v>
      </c>
      <c r="AL38" s="58">
        <v>15401</v>
      </c>
      <c r="AM38" s="58" t="s">
        <v>526</v>
      </c>
      <c r="AN38" s="58" t="s">
        <v>592</v>
      </c>
    </row>
    <row r="39" spans="1:40">
      <c r="A39" s="58">
        <v>15402</v>
      </c>
      <c r="B39" s="58">
        <v>15400</v>
      </c>
      <c r="C39" s="58" t="s">
        <v>590</v>
      </c>
      <c r="D39" s="58">
        <v>2</v>
      </c>
      <c r="E39" s="58">
        <v>610</v>
      </c>
      <c r="F39" s="58">
        <v>3</v>
      </c>
      <c r="G39" s="58" t="s">
        <v>366</v>
      </c>
      <c r="H39" s="58" t="s">
        <v>366</v>
      </c>
      <c r="I39" s="58">
        <v>1</v>
      </c>
      <c r="J39" s="58">
        <v>20000</v>
      </c>
      <c r="K39" s="58">
        <v>1800</v>
      </c>
      <c r="L39" s="58">
        <v>5</v>
      </c>
      <c r="M39" s="58">
        <v>1</v>
      </c>
      <c r="N39" s="58">
        <v>20100</v>
      </c>
      <c r="O39" s="58">
        <v>0</v>
      </c>
      <c r="P39" s="58">
        <v>0.7</v>
      </c>
      <c r="Q39" s="58">
        <v>0</v>
      </c>
      <c r="R39" s="58">
        <v>3</v>
      </c>
      <c r="S39" s="58">
        <v>0</v>
      </c>
      <c r="T39" s="58">
        <v>0</v>
      </c>
      <c r="U39" s="58">
        <v>9</v>
      </c>
      <c r="V39" s="58">
        <v>9</v>
      </c>
      <c r="W39" s="58">
        <v>9</v>
      </c>
      <c r="X39" s="58" t="s">
        <v>330</v>
      </c>
      <c r="Y39" s="59">
        <v>52</v>
      </c>
      <c r="Z39" s="58">
        <v>102</v>
      </c>
      <c r="AA39" s="58">
        <v>1</v>
      </c>
      <c r="AB39" s="58">
        <v>0</v>
      </c>
      <c r="AC39" s="58" t="s">
        <v>213</v>
      </c>
      <c r="AD39" s="58" t="s">
        <v>591</v>
      </c>
      <c r="AE39" s="58">
        <v>60076</v>
      </c>
      <c r="AF39" s="58">
        <v>60077</v>
      </c>
      <c r="AG39" s="58">
        <v>60078</v>
      </c>
      <c r="AH39" s="58">
        <v>2</v>
      </c>
      <c r="AI39" s="58">
        <v>2</v>
      </c>
      <c r="AJ39" s="58">
        <v>0</v>
      </c>
      <c r="AK39" s="58">
        <v>1</v>
      </c>
      <c r="AL39" s="58">
        <v>15401</v>
      </c>
      <c r="AM39" s="58" t="s">
        <v>526</v>
      </c>
      <c r="AN39" s="58" t="s">
        <v>592</v>
      </c>
    </row>
    <row r="40" spans="1:40">
      <c r="A40" s="58">
        <v>15403</v>
      </c>
      <c r="B40" s="58">
        <v>15400</v>
      </c>
      <c r="C40" s="58" t="s">
        <v>590</v>
      </c>
      <c r="D40" s="58">
        <v>3</v>
      </c>
      <c r="E40" s="58">
        <v>670</v>
      </c>
      <c r="F40" s="58">
        <v>3</v>
      </c>
      <c r="G40" s="58" t="s">
        <v>366</v>
      </c>
      <c r="H40" s="58" t="s">
        <v>366</v>
      </c>
      <c r="I40" s="58">
        <v>1</v>
      </c>
      <c r="J40" s="58">
        <v>40000</v>
      </c>
      <c r="K40" s="58">
        <v>2520</v>
      </c>
      <c r="L40" s="58">
        <v>9</v>
      </c>
      <c r="M40" s="58">
        <v>1</v>
      </c>
      <c r="N40" s="58">
        <v>20100</v>
      </c>
      <c r="O40" s="58">
        <v>0</v>
      </c>
      <c r="P40" s="58">
        <v>0.7</v>
      </c>
      <c r="Q40" s="58">
        <v>0</v>
      </c>
      <c r="R40" s="58">
        <v>3</v>
      </c>
      <c r="S40" s="58">
        <v>0</v>
      </c>
      <c r="T40" s="58">
        <v>0</v>
      </c>
      <c r="U40" s="58">
        <v>9</v>
      </c>
      <c r="V40" s="58">
        <v>9</v>
      </c>
      <c r="W40" s="58">
        <v>9</v>
      </c>
      <c r="X40" s="58" t="s">
        <v>330</v>
      </c>
      <c r="Y40" s="59">
        <v>65</v>
      </c>
      <c r="Z40" s="58">
        <v>102</v>
      </c>
      <c r="AA40" s="58">
        <v>1</v>
      </c>
      <c r="AB40" s="58">
        <v>0</v>
      </c>
      <c r="AC40" s="58" t="s">
        <v>213</v>
      </c>
      <c r="AD40" s="58" t="s">
        <v>591</v>
      </c>
      <c r="AE40" s="58">
        <v>60076</v>
      </c>
      <c r="AF40" s="58">
        <v>60077</v>
      </c>
      <c r="AG40" s="58">
        <v>60078</v>
      </c>
      <c r="AH40" s="58">
        <v>3</v>
      </c>
      <c r="AI40" s="58">
        <v>3</v>
      </c>
      <c r="AJ40" s="58">
        <v>0</v>
      </c>
      <c r="AK40" s="58">
        <v>1</v>
      </c>
      <c r="AL40" s="58">
        <v>15401</v>
      </c>
      <c r="AM40" s="58" t="s">
        <v>526</v>
      </c>
      <c r="AN40" s="58" t="s">
        <v>592</v>
      </c>
    </row>
    <row r="41" spans="1:40">
      <c r="A41" s="58">
        <v>15404</v>
      </c>
      <c r="B41" s="58">
        <v>15400</v>
      </c>
      <c r="C41" s="58" t="s">
        <v>590</v>
      </c>
      <c r="D41" s="58">
        <v>4</v>
      </c>
      <c r="E41" s="58">
        <v>740</v>
      </c>
      <c r="F41" s="58">
        <v>3</v>
      </c>
      <c r="G41" s="58" t="s">
        <v>366</v>
      </c>
      <c r="H41" s="58" t="s">
        <v>366</v>
      </c>
      <c r="I41" s="58">
        <v>1</v>
      </c>
      <c r="J41" s="58">
        <v>0</v>
      </c>
      <c r="K41" s="58">
        <v>0</v>
      </c>
      <c r="L41" s="58">
        <v>10</v>
      </c>
      <c r="M41" s="58">
        <v>1</v>
      </c>
      <c r="N41" s="58">
        <v>20100</v>
      </c>
      <c r="O41" s="58">
        <v>0</v>
      </c>
      <c r="P41" s="58">
        <v>0.7</v>
      </c>
      <c r="Q41" s="58">
        <v>0</v>
      </c>
      <c r="R41" s="58">
        <v>3</v>
      </c>
      <c r="S41" s="58">
        <v>0</v>
      </c>
      <c r="T41" s="58">
        <v>0</v>
      </c>
      <c r="U41" s="58">
        <v>9</v>
      </c>
      <c r="V41" s="58">
        <v>9</v>
      </c>
      <c r="W41" s="58">
        <v>9</v>
      </c>
      <c r="X41" s="58" t="s">
        <v>330</v>
      </c>
      <c r="Y41" s="59">
        <v>79</v>
      </c>
      <c r="Z41" s="58">
        <v>102</v>
      </c>
      <c r="AA41" s="58">
        <v>1</v>
      </c>
      <c r="AB41" s="58">
        <v>0</v>
      </c>
      <c r="AC41" s="58" t="s">
        <v>213</v>
      </c>
      <c r="AD41" s="58" t="s">
        <v>591</v>
      </c>
      <c r="AE41" s="58">
        <v>60076</v>
      </c>
      <c r="AF41" s="58">
        <v>60077</v>
      </c>
      <c r="AG41" s="58">
        <v>60078</v>
      </c>
      <c r="AH41" s="58">
        <v>4</v>
      </c>
      <c r="AI41" s="58">
        <v>4</v>
      </c>
      <c r="AJ41" s="58">
        <v>0</v>
      </c>
      <c r="AK41" s="58">
        <v>1</v>
      </c>
      <c r="AL41" s="58">
        <v>15401</v>
      </c>
      <c r="AM41" s="58" t="s">
        <v>526</v>
      </c>
      <c r="AN41" s="58" t="s">
        <v>592</v>
      </c>
    </row>
    <row r="42" spans="1:40">
      <c r="A42" s="58">
        <v>15501</v>
      </c>
      <c r="B42" s="58">
        <v>15500</v>
      </c>
      <c r="C42" s="58" t="s">
        <v>214</v>
      </c>
      <c r="D42" s="58">
        <v>1</v>
      </c>
      <c r="E42" s="58">
        <v>160</v>
      </c>
      <c r="F42" s="58">
        <v>3</v>
      </c>
      <c r="G42" s="58" t="s">
        <v>366</v>
      </c>
      <c r="H42" s="58" t="s">
        <v>366</v>
      </c>
      <c r="I42" s="58">
        <v>1</v>
      </c>
      <c r="J42" s="58">
        <v>40000</v>
      </c>
      <c r="K42" s="58">
        <v>960</v>
      </c>
      <c r="L42" s="58">
        <v>6</v>
      </c>
      <c r="M42" s="58">
        <v>1</v>
      </c>
      <c r="N42" s="58">
        <v>20100</v>
      </c>
      <c r="O42" s="58">
        <v>0</v>
      </c>
      <c r="P42" s="58">
        <v>0.8</v>
      </c>
      <c r="Q42" s="58">
        <v>0</v>
      </c>
      <c r="R42" s="58">
        <v>0.2</v>
      </c>
      <c r="S42" s="58">
        <v>0</v>
      </c>
      <c r="T42" s="58">
        <v>0</v>
      </c>
      <c r="U42" s="58">
        <v>5</v>
      </c>
      <c r="V42" s="58">
        <v>5</v>
      </c>
      <c r="W42" s="58">
        <v>5</v>
      </c>
      <c r="X42" s="58" t="s">
        <v>330</v>
      </c>
      <c r="Y42" s="59">
        <v>15</v>
      </c>
      <c r="Z42" s="58">
        <v>107</v>
      </c>
      <c r="AA42" s="58">
        <v>1</v>
      </c>
      <c r="AB42" s="58">
        <v>0</v>
      </c>
      <c r="AC42" s="58" t="s">
        <v>215</v>
      </c>
      <c r="AD42" s="58" t="s">
        <v>593</v>
      </c>
      <c r="AE42" s="58">
        <v>60079</v>
      </c>
      <c r="AF42" s="58">
        <v>60080</v>
      </c>
      <c r="AG42" s="58">
        <v>60081</v>
      </c>
      <c r="AH42" s="58">
        <v>1</v>
      </c>
      <c r="AI42" s="58">
        <v>1</v>
      </c>
      <c r="AJ42" s="58">
        <v>0</v>
      </c>
      <c r="AK42" s="58">
        <v>1</v>
      </c>
      <c r="AL42" s="58">
        <v>15501</v>
      </c>
      <c r="AM42" s="58" t="s">
        <v>526</v>
      </c>
      <c r="AN42" s="58"/>
    </row>
    <row r="43" spans="1:40">
      <c r="A43" s="58">
        <v>15502</v>
      </c>
      <c r="B43" s="58">
        <v>15500</v>
      </c>
      <c r="C43" s="58" t="s">
        <v>214</v>
      </c>
      <c r="D43" s="58">
        <v>2</v>
      </c>
      <c r="E43" s="58">
        <v>190</v>
      </c>
      <c r="F43" s="58">
        <v>3</v>
      </c>
      <c r="G43" s="58" t="s">
        <v>366</v>
      </c>
      <c r="H43" s="58" t="s">
        <v>366</v>
      </c>
      <c r="I43" s="58">
        <v>1</v>
      </c>
      <c r="J43" s="58">
        <v>80000</v>
      </c>
      <c r="K43" s="58">
        <v>1320</v>
      </c>
      <c r="L43" s="58">
        <v>8</v>
      </c>
      <c r="M43" s="58">
        <v>1</v>
      </c>
      <c r="N43" s="58">
        <v>20100</v>
      </c>
      <c r="O43" s="58">
        <v>0</v>
      </c>
      <c r="P43" s="58">
        <v>0.8</v>
      </c>
      <c r="Q43" s="58">
        <v>0</v>
      </c>
      <c r="R43" s="58">
        <v>0.2</v>
      </c>
      <c r="S43" s="58">
        <v>0</v>
      </c>
      <c r="T43" s="58">
        <v>0</v>
      </c>
      <c r="U43" s="58">
        <v>5</v>
      </c>
      <c r="V43" s="58">
        <v>5</v>
      </c>
      <c r="W43" s="58">
        <v>5</v>
      </c>
      <c r="X43" s="58" t="s">
        <v>330</v>
      </c>
      <c r="Y43" s="59">
        <v>25</v>
      </c>
      <c r="Z43" s="58">
        <v>107</v>
      </c>
      <c r="AA43" s="58">
        <v>1</v>
      </c>
      <c r="AB43" s="58">
        <v>0</v>
      </c>
      <c r="AC43" s="58" t="s">
        <v>215</v>
      </c>
      <c r="AD43" s="58" t="s">
        <v>593</v>
      </c>
      <c r="AE43" s="58">
        <v>60079</v>
      </c>
      <c r="AF43" s="58">
        <v>60080</v>
      </c>
      <c r="AG43" s="58">
        <v>60081</v>
      </c>
      <c r="AH43" s="58">
        <v>2</v>
      </c>
      <c r="AI43" s="58">
        <v>2</v>
      </c>
      <c r="AJ43" s="58">
        <v>0</v>
      </c>
      <c r="AK43" s="58">
        <v>1</v>
      </c>
      <c r="AL43" s="58">
        <v>15501</v>
      </c>
      <c r="AM43" s="58" t="s">
        <v>526</v>
      </c>
      <c r="AN43" s="58"/>
    </row>
    <row r="44" spans="1:40">
      <c r="A44" s="58">
        <v>15503</v>
      </c>
      <c r="B44" s="58">
        <v>15500</v>
      </c>
      <c r="C44" s="58" t="s">
        <v>214</v>
      </c>
      <c r="D44" s="58">
        <v>3</v>
      </c>
      <c r="E44" s="58">
        <v>220</v>
      </c>
      <c r="F44" s="58">
        <v>3</v>
      </c>
      <c r="G44" s="58" t="s">
        <v>366</v>
      </c>
      <c r="H44" s="58" t="s">
        <v>366</v>
      </c>
      <c r="I44" s="58">
        <v>1</v>
      </c>
      <c r="J44" s="58">
        <v>0</v>
      </c>
      <c r="K44" s="58">
        <v>0</v>
      </c>
      <c r="L44" s="58">
        <v>9</v>
      </c>
      <c r="M44" s="58">
        <v>1</v>
      </c>
      <c r="N44" s="58">
        <v>20100</v>
      </c>
      <c r="O44" s="58">
        <v>0</v>
      </c>
      <c r="P44" s="58">
        <v>0.8</v>
      </c>
      <c r="Q44" s="58">
        <v>0</v>
      </c>
      <c r="R44" s="58">
        <v>0.2</v>
      </c>
      <c r="S44" s="58">
        <v>0</v>
      </c>
      <c r="T44" s="58">
        <v>0</v>
      </c>
      <c r="U44" s="58">
        <v>5</v>
      </c>
      <c r="V44" s="58">
        <v>5</v>
      </c>
      <c r="W44" s="58">
        <v>5</v>
      </c>
      <c r="X44" s="58" t="s">
        <v>330</v>
      </c>
      <c r="Y44" s="59">
        <v>30</v>
      </c>
      <c r="Z44" s="58">
        <v>107</v>
      </c>
      <c r="AA44" s="58">
        <v>1</v>
      </c>
      <c r="AB44" s="58">
        <v>0</v>
      </c>
      <c r="AC44" s="58" t="s">
        <v>215</v>
      </c>
      <c r="AD44" s="58" t="s">
        <v>593</v>
      </c>
      <c r="AE44" s="58">
        <v>60079</v>
      </c>
      <c r="AF44" s="58">
        <v>60080</v>
      </c>
      <c r="AG44" s="58">
        <v>60081</v>
      </c>
      <c r="AH44" s="58">
        <v>3</v>
      </c>
      <c r="AI44" s="58">
        <v>3</v>
      </c>
      <c r="AJ44" s="58">
        <v>0</v>
      </c>
      <c r="AK44" s="58">
        <v>1</v>
      </c>
      <c r="AL44" s="58">
        <v>15501</v>
      </c>
      <c r="AM44" s="58" t="s">
        <v>526</v>
      </c>
      <c r="AN44" s="58"/>
    </row>
    <row r="45" spans="1:40">
      <c r="A45" s="58">
        <v>15601</v>
      </c>
      <c r="B45" s="58">
        <v>15600</v>
      </c>
      <c r="C45" s="58" t="s">
        <v>216</v>
      </c>
      <c r="D45" s="58">
        <v>1</v>
      </c>
      <c r="E45" s="58">
        <v>580</v>
      </c>
      <c r="F45" s="58">
        <v>3</v>
      </c>
      <c r="G45" s="58" t="s">
        <v>366</v>
      </c>
      <c r="H45" s="58" t="s">
        <v>366</v>
      </c>
      <c r="I45" s="58">
        <v>1</v>
      </c>
      <c r="J45" s="58">
        <v>120000</v>
      </c>
      <c r="K45" s="58">
        <v>1440</v>
      </c>
      <c r="L45" s="58">
        <v>9</v>
      </c>
      <c r="M45" s="58">
        <v>1</v>
      </c>
      <c r="N45" s="58">
        <v>20100</v>
      </c>
      <c r="O45" s="58">
        <v>2</v>
      </c>
      <c r="P45" s="58">
        <v>0.9</v>
      </c>
      <c r="Q45" s="58">
        <v>0.4</v>
      </c>
      <c r="R45" s="58">
        <v>4.5</v>
      </c>
      <c r="S45" s="58">
        <v>0</v>
      </c>
      <c r="T45" s="58">
        <v>0</v>
      </c>
      <c r="U45" s="58">
        <v>9</v>
      </c>
      <c r="V45" s="58">
        <v>9</v>
      </c>
      <c r="W45" s="58">
        <v>9</v>
      </c>
      <c r="X45" s="58" t="s">
        <v>330</v>
      </c>
      <c r="Y45" s="59">
        <v>25</v>
      </c>
      <c r="Z45" s="58">
        <v>106</v>
      </c>
      <c r="AA45" s="58">
        <v>0</v>
      </c>
      <c r="AB45" s="58">
        <v>0</v>
      </c>
      <c r="AC45" s="58" t="s">
        <v>217</v>
      </c>
      <c r="AD45" s="58" t="s">
        <v>594</v>
      </c>
      <c r="AE45" s="58">
        <v>60082</v>
      </c>
      <c r="AF45" s="58">
        <v>0</v>
      </c>
      <c r="AG45" s="58">
        <v>60083</v>
      </c>
      <c r="AH45" s="58">
        <v>1</v>
      </c>
      <c r="AI45" s="58">
        <v>0</v>
      </c>
      <c r="AJ45" s="58">
        <v>0</v>
      </c>
      <c r="AK45" s="58">
        <v>1</v>
      </c>
      <c r="AL45" s="58">
        <v>15601</v>
      </c>
      <c r="AM45" s="58" t="s">
        <v>526</v>
      </c>
      <c r="AN45" s="58"/>
    </row>
    <row r="46" spans="1:40">
      <c r="A46" s="58">
        <v>15602</v>
      </c>
      <c r="B46" s="58">
        <v>15600</v>
      </c>
      <c r="C46" s="58" t="s">
        <v>216</v>
      </c>
      <c r="D46" s="58">
        <v>2</v>
      </c>
      <c r="E46" s="58">
        <v>690</v>
      </c>
      <c r="F46" s="58">
        <v>3</v>
      </c>
      <c r="G46" s="58" t="s">
        <v>366</v>
      </c>
      <c r="H46" s="58" t="s">
        <v>366</v>
      </c>
      <c r="I46" s="58">
        <v>1</v>
      </c>
      <c r="J46" s="58">
        <v>0</v>
      </c>
      <c r="K46" s="58">
        <v>0</v>
      </c>
      <c r="L46" s="58">
        <v>10</v>
      </c>
      <c r="M46" s="58">
        <v>1</v>
      </c>
      <c r="N46" s="58">
        <v>20100</v>
      </c>
      <c r="O46" s="58">
        <v>2</v>
      </c>
      <c r="P46" s="58">
        <v>0.9</v>
      </c>
      <c r="Q46" s="58">
        <v>0.4</v>
      </c>
      <c r="R46" s="58">
        <v>4.5</v>
      </c>
      <c r="S46" s="58">
        <v>0</v>
      </c>
      <c r="T46" s="58">
        <v>0</v>
      </c>
      <c r="U46" s="58">
        <v>9</v>
      </c>
      <c r="V46" s="58">
        <v>9</v>
      </c>
      <c r="W46" s="58">
        <v>9</v>
      </c>
      <c r="X46" s="58" t="s">
        <v>330</v>
      </c>
      <c r="Y46" s="59">
        <v>45</v>
      </c>
      <c r="Z46" s="58">
        <v>106</v>
      </c>
      <c r="AA46" s="58">
        <v>0</v>
      </c>
      <c r="AB46" s="58">
        <v>0</v>
      </c>
      <c r="AC46" s="58" t="s">
        <v>217</v>
      </c>
      <c r="AD46" s="58" t="s">
        <v>594</v>
      </c>
      <c r="AE46" s="58">
        <v>60082</v>
      </c>
      <c r="AF46" s="58">
        <v>0</v>
      </c>
      <c r="AG46" s="58">
        <v>60083</v>
      </c>
      <c r="AH46" s="58">
        <v>2</v>
      </c>
      <c r="AI46" s="58">
        <v>0</v>
      </c>
      <c r="AJ46" s="58">
        <v>0</v>
      </c>
      <c r="AK46" s="58">
        <v>1</v>
      </c>
      <c r="AL46" s="58">
        <v>15601</v>
      </c>
      <c r="AM46" s="58" t="s">
        <v>526</v>
      </c>
      <c r="AN46" s="58"/>
    </row>
    <row r="47" spans="1:40">
      <c r="A47" s="58">
        <v>15701</v>
      </c>
      <c r="B47" s="58">
        <v>15700</v>
      </c>
      <c r="C47" s="58" t="s">
        <v>218</v>
      </c>
      <c r="D47" s="58">
        <v>1</v>
      </c>
      <c r="E47" s="58">
        <v>80</v>
      </c>
      <c r="F47" s="58">
        <v>3</v>
      </c>
      <c r="G47" s="58" t="s">
        <v>366</v>
      </c>
      <c r="H47" s="58" t="s">
        <v>366</v>
      </c>
      <c r="I47" s="58">
        <v>1</v>
      </c>
      <c r="J47" s="58">
        <v>130000</v>
      </c>
      <c r="K47" s="58">
        <v>1920</v>
      </c>
      <c r="L47" s="58">
        <v>8</v>
      </c>
      <c r="M47" s="58">
        <v>0</v>
      </c>
      <c r="N47" s="58">
        <v>20100</v>
      </c>
      <c r="O47" s="58">
        <v>0</v>
      </c>
      <c r="P47" s="58">
        <v>1</v>
      </c>
      <c r="Q47" s="58">
        <v>1</v>
      </c>
      <c r="R47" s="58">
        <v>4</v>
      </c>
      <c r="S47" s="58">
        <v>0</v>
      </c>
      <c r="T47" s="58">
        <v>0</v>
      </c>
      <c r="U47" s="58">
        <v>4</v>
      </c>
      <c r="V47" s="58">
        <v>5</v>
      </c>
      <c r="W47" s="58">
        <v>5</v>
      </c>
      <c r="X47" s="58" t="s">
        <v>595</v>
      </c>
      <c r="Y47" s="59">
        <v>0</v>
      </c>
      <c r="Z47" s="58">
        <v>200</v>
      </c>
      <c r="AA47" s="58">
        <v>0</v>
      </c>
      <c r="AB47" s="58">
        <v>0</v>
      </c>
      <c r="AC47" s="58" t="s">
        <v>219</v>
      </c>
      <c r="AD47" s="58" t="s">
        <v>596</v>
      </c>
      <c r="AE47" s="58">
        <v>60084</v>
      </c>
      <c r="AF47" s="58">
        <v>0</v>
      </c>
      <c r="AG47" s="58">
        <v>60085</v>
      </c>
      <c r="AH47" s="58">
        <v>1</v>
      </c>
      <c r="AI47" s="58">
        <v>0</v>
      </c>
      <c r="AJ47" s="58">
        <v>0</v>
      </c>
      <c r="AK47" s="58">
        <v>0</v>
      </c>
      <c r="AL47" s="58">
        <v>15701</v>
      </c>
      <c r="AM47" s="58" t="s">
        <v>526</v>
      </c>
      <c r="AN47" s="58"/>
    </row>
    <row r="48" spans="1:40">
      <c r="A48" s="58">
        <v>15702</v>
      </c>
      <c r="B48" s="58">
        <v>15700</v>
      </c>
      <c r="C48" s="58" t="s">
        <v>218</v>
      </c>
      <c r="D48" s="58">
        <v>2</v>
      </c>
      <c r="E48" s="58">
        <v>110</v>
      </c>
      <c r="F48" s="58">
        <v>3</v>
      </c>
      <c r="G48" s="58" t="s">
        <v>366</v>
      </c>
      <c r="H48" s="58" t="s">
        <v>366</v>
      </c>
      <c r="I48" s="58">
        <v>1</v>
      </c>
      <c r="J48" s="58">
        <v>0</v>
      </c>
      <c r="K48" s="58">
        <v>0</v>
      </c>
      <c r="L48" s="58">
        <v>9</v>
      </c>
      <c r="M48" s="58">
        <v>0</v>
      </c>
      <c r="N48" s="58">
        <v>20100</v>
      </c>
      <c r="O48" s="58">
        <v>0</v>
      </c>
      <c r="P48" s="58">
        <v>1</v>
      </c>
      <c r="Q48" s="58">
        <v>1</v>
      </c>
      <c r="R48" s="58">
        <v>4</v>
      </c>
      <c r="S48" s="58">
        <v>0</v>
      </c>
      <c r="T48" s="58">
        <v>0</v>
      </c>
      <c r="U48" s="58">
        <v>4</v>
      </c>
      <c r="V48" s="58">
        <v>5</v>
      </c>
      <c r="W48" s="58">
        <v>5</v>
      </c>
      <c r="X48" s="58" t="s">
        <v>595</v>
      </c>
      <c r="Y48" s="59">
        <v>0</v>
      </c>
      <c r="Z48" s="58">
        <v>201</v>
      </c>
      <c r="AA48" s="58">
        <v>0</v>
      </c>
      <c r="AB48" s="58">
        <v>0</v>
      </c>
      <c r="AC48" s="58" t="s">
        <v>219</v>
      </c>
      <c r="AD48" s="58" t="s">
        <v>596</v>
      </c>
      <c r="AE48" s="58">
        <v>60084</v>
      </c>
      <c r="AF48" s="58">
        <v>0</v>
      </c>
      <c r="AG48" s="58">
        <v>60085</v>
      </c>
      <c r="AH48" s="58">
        <v>2</v>
      </c>
      <c r="AI48" s="58">
        <v>0</v>
      </c>
      <c r="AJ48" s="58">
        <v>0</v>
      </c>
      <c r="AK48" s="58">
        <v>0</v>
      </c>
      <c r="AL48" s="58">
        <v>15701</v>
      </c>
      <c r="AM48" s="58" t="s">
        <v>526</v>
      </c>
      <c r="AN48" s="58"/>
    </row>
    <row r="49" spans="1:40">
      <c r="A49" s="58">
        <v>15801</v>
      </c>
      <c r="B49" s="58">
        <v>15800</v>
      </c>
      <c r="C49" s="58" t="s">
        <v>220</v>
      </c>
      <c r="D49" s="58">
        <v>1</v>
      </c>
      <c r="E49" s="58">
        <v>140</v>
      </c>
      <c r="F49" s="58">
        <v>3</v>
      </c>
      <c r="G49" s="58" t="s">
        <v>366</v>
      </c>
      <c r="H49" s="58" t="s">
        <v>366</v>
      </c>
      <c r="I49" s="58">
        <v>1</v>
      </c>
      <c r="J49" s="58">
        <v>200000</v>
      </c>
      <c r="K49" s="58">
        <v>2880</v>
      </c>
      <c r="L49" s="58">
        <v>8</v>
      </c>
      <c r="M49" s="58">
        <v>1</v>
      </c>
      <c r="N49" s="58">
        <v>20100</v>
      </c>
      <c r="O49" s="58">
        <v>2</v>
      </c>
      <c r="P49" s="58">
        <v>1.1000000000000001</v>
      </c>
      <c r="Q49" s="58">
        <v>0</v>
      </c>
      <c r="R49" s="58">
        <v>2</v>
      </c>
      <c r="S49" s="58">
        <v>0</v>
      </c>
      <c r="T49" s="58">
        <v>0</v>
      </c>
      <c r="U49" s="58">
        <v>9</v>
      </c>
      <c r="V49" s="58">
        <v>7</v>
      </c>
      <c r="W49" s="58">
        <v>7</v>
      </c>
      <c r="X49" s="58" t="s">
        <v>597</v>
      </c>
      <c r="Y49" s="59">
        <v>25</v>
      </c>
      <c r="Z49" s="58">
        <v>108</v>
      </c>
      <c r="AA49" s="58">
        <v>0</v>
      </c>
      <c r="AB49" s="58">
        <v>0</v>
      </c>
      <c r="AC49" s="58" t="s">
        <v>221</v>
      </c>
      <c r="AD49" s="58" t="s">
        <v>598</v>
      </c>
      <c r="AE49" s="58">
        <v>60086</v>
      </c>
      <c r="AF49" s="58">
        <v>60087</v>
      </c>
      <c r="AG49" s="58">
        <v>60088</v>
      </c>
      <c r="AH49" s="58">
        <v>1</v>
      </c>
      <c r="AI49" s="58">
        <v>1</v>
      </c>
      <c r="AJ49" s="58">
        <v>0</v>
      </c>
      <c r="AK49" s="58">
        <v>1</v>
      </c>
      <c r="AL49" s="58">
        <v>15801</v>
      </c>
      <c r="AM49" s="58" t="s">
        <v>526</v>
      </c>
      <c r="AN49" s="58"/>
    </row>
    <row r="50" spans="1:40">
      <c r="A50" s="58">
        <v>15802</v>
      </c>
      <c r="B50" s="58">
        <v>15800</v>
      </c>
      <c r="C50" s="58" t="s">
        <v>220</v>
      </c>
      <c r="D50" s="58">
        <v>2</v>
      </c>
      <c r="E50" s="58">
        <v>190</v>
      </c>
      <c r="F50" s="58">
        <v>3</v>
      </c>
      <c r="G50" s="58" t="s">
        <v>366</v>
      </c>
      <c r="H50" s="58" t="s">
        <v>366</v>
      </c>
      <c r="I50" s="58">
        <v>1</v>
      </c>
      <c r="J50" s="58">
        <v>300000</v>
      </c>
      <c r="K50" s="58">
        <v>5400</v>
      </c>
      <c r="L50" s="58">
        <v>9</v>
      </c>
      <c r="M50" s="58">
        <v>1</v>
      </c>
      <c r="N50" s="58">
        <v>20100</v>
      </c>
      <c r="O50" s="58">
        <v>2</v>
      </c>
      <c r="P50" s="58">
        <v>1.1000000000000001</v>
      </c>
      <c r="Q50" s="58">
        <v>0</v>
      </c>
      <c r="R50" s="58">
        <v>2</v>
      </c>
      <c r="S50" s="58">
        <v>0</v>
      </c>
      <c r="T50" s="58">
        <v>0</v>
      </c>
      <c r="U50" s="58">
        <v>9</v>
      </c>
      <c r="V50" s="58">
        <v>7</v>
      </c>
      <c r="W50" s="58">
        <v>7</v>
      </c>
      <c r="X50" s="58" t="s">
        <v>597</v>
      </c>
      <c r="Y50" s="59">
        <v>40</v>
      </c>
      <c r="Z50" s="58">
        <v>108</v>
      </c>
      <c r="AA50" s="58">
        <v>0</v>
      </c>
      <c r="AB50" s="58">
        <v>0</v>
      </c>
      <c r="AC50" s="58" t="s">
        <v>221</v>
      </c>
      <c r="AD50" s="58" t="s">
        <v>598</v>
      </c>
      <c r="AE50" s="58">
        <v>60086</v>
      </c>
      <c r="AF50" s="58">
        <v>60087</v>
      </c>
      <c r="AG50" s="58">
        <v>60088</v>
      </c>
      <c r="AH50" s="58">
        <v>2</v>
      </c>
      <c r="AI50" s="58">
        <v>2</v>
      </c>
      <c r="AJ50" s="58">
        <v>0</v>
      </c>
      <c r="AK50" s="58">
        <v>1</v>
      </c>
      <c r="AL50" s="58">
        <v>15801</v>
      </c>
      <c r="AM50" s="58" t="s">
        <v>526</v>
      </c>
      <c r="AN50" s="58"/>
    </row>
    <row r="51" spans="1:40">
      <c r="A51" s="58">
        <v>15803</v>
      </c>
      <c r="B51" s="58">
        <v>15800</v>
      </c>
      <c r="C51" s="58" t="s">
        <v>220</v>
      </c>
      <c r="D51" s="58">
        <v>3</v>
      </c>
      <c r="E51" s="58">
        <v>220</v>
      </c>
      <c r="F51" s="58">
        <v>3</v>
      </c>
      <c r="G51" s="58" t="s">
        <v>366</v>
      </c>
      <c r="H51" s="58" t="s">
        <v>366</v>
      </c>
      <c r="I51" s="58">
        <v>1</v>
      </c>
      <c r="J51" s="58">
        <v>0</v>
      </c>
      <c r="K51" s="58">
        <v>0</v>
      </c>
      <c r="L51" s="58">
        <v>10</v>
      </c>
      <c r="M51" s="58">
        <v>1</v>
      </c>
      <c r="N51" s="58">
        <v>20100</v>
      </c>
      <c r="O51" s="58">
        <v>2</v>
      </c>
      <c r="P51" s="58">
        <v>1.1000000000000001</v>
      </c>
      <c r="Q51" s="58">
        <v>0</v>
      </c>
      <c r="R51" s="58">
        <v>2</v>
      </c>
      <c r="S51" s="58">
        <v>0</v>
      </c>
      <c r="T51" s="58">
        <v>0</v>
      </c>
      <c r="U51" s="58">
        <v>9</v>
      </c>
      <c r="V51" s="58">
        <v>7</v>
      </c>
      <c r="W51" s="58">
        <v>7</v>
      </c>
      <c r="X51" s="58" t="s">
        <v>597</v>
      </c>
      <c r="Y51" s="59">
        <v>62</v>
      </c>
      <c r="Z51" s="58">
        <v>108</v>
      </c>
      <c r="AA51" s="58">
        <v>0</v>
      </c>
      <c r="AB51" s="58">
        <v>0</v>
      </c>
      <c r="AC51" s="58" t="s">
        <v>221</v>
      </c>
      <c r="AD51" s="58" t="s">
        <v>598</v>
      </c>
      <c r="AE51" s="58">
        <v>60086</v>
      </c>
      <c r="AF51" s="58">
        <v>60087</v>
      </c>
      <c r="AG51" s="58">
        <v>60088</v>
      </c>
      <c r="AH51" s="58">
        <v>3</v>
      </c>
      <c r="AI51" s="58">
        <v>3</v>
      </c>
      <c r="AJ51" s="58">
        <v>0</v>
      </c>
      <c r="AK51" s="58">
        <v>1</v>
      </c>
      <c r="AL51" s="58">
        <v>15801</v>
      </c>
      <c r="AM51" s="58" t="s">
        <v>526</v>
      </c>
      <c r="AN51" s="58"/>
    </row>
    <row r="52" spans="1:40">
      <c r="A52" s="58">
        <v>15901</v>
      </c>
      <c r="B52" s="58">
        <v>15900</v>
      </c>
      <c r="C52" s="58" t="s">
        <v>491</v>
      </c>
      <c r="D52" s="58">
        <v>1</v>
      </c>
      <c r="E52" s="58">
        <v>560</v>
      </c>
      <c r="F52" s="58">
        <v>3</v>
      </c>
      <c r="G52" s="58" t="s">
        <v>366</v>
      </c>
      <c r="H52" s="58" t="s">
        <v>366</v>
      </c>
      <c r="I52" s="58">
        <v>1</v>
      </c>
      <c r="J52" s="58">
        <v>350000</v>
      </c>
      <c r="K52" s="58">
        <v>6840</v>
      </c>
      <c r="L52" s="58">
        <v>9</v>
      </c>
      <c r="M52" s="58">
        <v>1</v>
      </c>
      <c r="N52" s="58">
        <v>20100</v>
      </c>
      <c r="O52" s="58">
        <v>2</v>
      </c>
      <c r="P52" s="58">
        <v>1.2</v>
      </c>
      <c r="Q52" s="58">
        <v>0</v>
      </c>
      <c r="R52" s="58">
        <v>0.3</v>
      </c>
      <c r="S52" s="58">
        <v>0</v>
      </c>
      <c r="T52" s="58">
        <v>0</v>
      </c>
      <c r="U52" s="58">
        <v>6</v>
      </c>
      <c r="V52" s="58">
        <v>6</v>
      </c>
      <c r="W52" s="58">
        <v>6</v>
      </c>
      <c r="X52" s="58" t="s">
        <v>597</v>
      </c>
      <c r="Y52" s="59">
        <v>5</v>
      </c>
      <c r="Z52" s="58">
        <v>109</v>
      </c>
      <c r="AA52" s="58">
        <v>0</v>
      </c>
      <c r="AB52" s="58">
        <v>0</v>
      </c>
      <c r="AC52" s="58" t="s">
        <v>223</v>
      </c>
      <c r="AD52" s="58" t="s">
        <v>599</v>
      </c>
      <c r="AE52" s="58">
        <v>60089</v>
      </c>
      <c r="AF52" s="58">
        <v>0</v>
      </c>
      <c r="AG52" s="58">
        <v>60090</v>
      </c>
      <c r="AH52" s="58">
        <v>1</v>
      </c>
      <c r="AI52" s="58">
        <v>0</v>
      </c>
      <c r="AJ52" s="58">
        <v>0</v>
      </c>
      <c r="AK52" s="58">
        <v>1</v>
      </c>
      <c r="AL52" s="58">
        <v>15901</v>
      </c>
      <c r="AM52" s="58" t="s">
        <v>526</v>
      </c>
      <c r="AN52" s="58" t="s">
        <v>592</v>
      </c>
    </row>
    <row r="53" spans="1:40">
      <c r="A53" s="58">
        <v>15902</v>
      </c>
      <c r="B53" s="58">
        <v>15900</v>
      </c>
      <c r="C53" s="58" t="s">
        <v>491</v>
      </c>
      <c r="D53" s="58">
        <v>2</v>
      </c>
      <c r="E53" s="58">
        <v>670</v>
      </c>
      <c r="F53" s="58">
        <v>3</v>
      </c>
      <c r="G53" s="58" t="s">
        <v>366</v>
      </c>
      <c r="H53" s="58" t="s">
        <v>366</v>
      </c>
      <c r="I53" s="58">
        <v>1</v>
      </c>
      <c r="J53" s="58">
        <v>0</v>
      </c>
      <c r="K53" s="58">
        <v>0</v>
      </c>
      <c r="L53" s="58">
        <v>10</v>
      </c>
      <c r="M53" s="58">
        <v>1</v>
      </c>
      <c r="N53" s="58">
        <v>20100</v>
      </c>
      <c r="O53" s="58">
        <v>2</v>
      </c>
      <c r="P53" s="58">
        <v>1.2</v>
      </c>
      <c r="Q53" s="58">
        <v>0</v>
      </c>
      <c r="R53" s="58">
        <v>0.3</v>
      </c>
      <c r="S53" s="58">
        <v>0</v>
      </c>
      <c r="T53" s="58">
        <v>0</v>
      </c>
      <c r="U53" s="58">
        <v>6</v>
      </c>
      <c r="V53" s="58">
        <v>6</v>
      </c>
      <c r="W53" s="58">
        <v>6</v>
      </c>
      <c r="X53" s="58" t="s">
        <v>597</v>
      </c>
      <c r="Y53" s="59">
        <v>6</v>
      </c>
      <c r="Z53" s="58">
        <v>109</v>
      </c>
      <c r="AA53" s="58">
        <v>0</v>
      </c>
      <c r="AB53" s="58">
        <v>0</v>
      </c>
      <c r="AC53" s="58" t="s">
        <v>223</v>
      </c>
      <c r="AD53" s="58" t="s">
        <v>599</v>
      </c>
      <c r="AE53" s="58">
        <v>60089</v>
      </c>
      <c r="AF53" s="58">
        <v>0</v>
      </c>
      <c r="AG53" s="58">
        <v>60090</v>
      </c>
      <c r="AH53" s="58">
        <v>2</v>
      </c>
      <c r="AI53" s="58">
        <v>0</v>
      </c>
      <c r="AJ53" s="58">
        <v>0</v>
      </c>
      <c r="AK53" s="58">
        <v>1</v>
      </c>
      <c r="AL53" s="58">
        <v>15901</v>
      </c>
      <c r="AM53" s="58" t="s">
        <v>526</v>
      </c>
      <c r="AN53" s="58" t="s">
        <v>592</v>
      </c>
    </row>
  </sheetData>
  <phoneticPr fontId="3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21"/>
  <sheetViews>
    <sheetView workbookViewId="0">
      <selection activeCell="B1" sqref="B1"/>
    </sheetView>
  </sheetViews>
  <sheetFormatPr defaultRowHeight="16.5"/>
  <cols>
    <col min="1" max="1" width="9" style="49"/>
    <col min="2" max="2" width="24.875" style="49" customWidth="1"/>
    <col min="3" max="3" width="14" style="49" bestFit="1" customWidth="1"/>
    <col min="4" max="5" width="14" style="49" customWidth="1"/>
    <col min="6" max="6" width="12.375" style="49" bestFit="1" customWidth="1"/>
    <col min="7" max="7" width="14.125" style="49" bestFit="1" customWidth="1"/>
    <col min="8" max="8" width="13.75" style="49" bestFit="1" customWidth="1"/>
    <col min="9" max="9" width="17.625" style="49" bestFit="1" customWidth="1"/>
    <col min="10" max="10" width="12.625" style="49" bestFit="1" customWidth="1"/>
    <col min="11" max="11" width="19.25" style="49" bestFit="1" customWidth="1"/>
    <col min="12" max="12" width="17.625" style="49" bestFit="1" customWidth="1"/>
    <col min="13" max="16384" width="9" style="49"/>
  </cols>
  <sheetData>
    <row r="1" spans="1:12">
      <c r="A1" s="56" t="s">
        <v>293</v>
      </c>
      <c r="B1" s="77" t="s">
        <v>1162</v>
      </c>
      <c r="C1" s="56" t="s">
        <v>600</v>
      </c>
      <c r="D1" s="56" t="s">
        <v>601</v>
      </c>
      <c r="E1" s="56" t="s">
        <v>602</v>
      </c>
      <c r="F1" s="56" t="s">
        <v>603</v>
      </c>
      <c r="G1" s="56" t="s">
        <v>604</v>
      </c>
      <c r="H1" s="56" t="s">
        <v>605</v>
      </c>
      <c r="I1" s="56" t="s">
        <v>606</v>
      </c>
      <c r="J1" s="56" t="s">
        <v>607</v>
      </c>
      <c r="K1" s="56" t="s">
        <v>608</v>
      </c>
      <c r="L1" s="56" t="s">
        <v>609</v>
      </c>
    </row>
    <row r="2" spans="1:12">
      <c r="A2" s="58">
        <v>101</v>
      </c>
      <c r="B2" s="58" t="s">
        <v>610</v>
      </c>
      <c r="C2" s="58">
        <v>0</v>
      </c>
      <c r="D2" s="58">
        <v>0</v>
      </c>
      <c r="E2" s="58">
        <v>1</v>
      </c>
      <c r="F2" s="58">
        <v>9</v>
      </c>
      <c r="G2" s="58">
        <v>1</v>
      </c>
      <c r="H2" s="58">
        <v>0</v>
      </c>
      <c r="I2" s="58">
        <v>0</v>
      </c>
      <c r="J2" s="58">
        <v>0</v>
      </c>
      <c r="K2" s="58">
        <v>0</v>
      </c>
      <c r="L2" s="58">
        <v>0</v>
      </c>
    </row>
    <row r="3" spans="1:12">
      <c r="A3" s="58">
        <v>102</v>
      </c>
      <c r="B3" s="58" t="s">
        <v>611</v>
      </c>
      <c r="C3" s="58">
        <v>0</v>
      </c>
      <c r="D3" s="58">
        <v>0</v>
      </c>
      <c r="E3" s="58">
        <v>1</v>
      </c>
      <c r="F3" s="58">
        <v>9</v>
      </c>
      <c r="G3" s="58">
        <v>1</v>
      </c>
      <c r="H3" s="58">
        <v>0</v>
      </c>
      <c r="I3" s="58">
        <v>0</v>
      </c>
      <c r="J3" s="58">
        <v>0</v>
      </c>
      <c r="K3" s="58">
        <v>0</v>
      </c>
      <c r="L3" s="58">
        <v>0</v>
      </c>
    </row>
    <row r="4" spans="1:12">
      <c r="A4" s="58">
        <v>103</v>
      </c>
      <c r="B4" s="58" t="s">
        <v>612</v>
      </c>
      <c r="C4" s="58">
        <v>1</v>
      </c>
      <c r="D4" s="58">
        <v>0</v>
      </c>
      <c r="E4" s="58">
        <v>0</v>
      </c>
      <c r="F4" s="58">
        <v>8</v>
      </c>
      <c r="G4" s="58">
        <v>1</v>
      </c>
      <c r="H4" s="58">
        <v>0</v>
      </c>
      <c r="I4" s="58">
        <v>600</v>
      </c>
      <c r="J4" s="58">
        <v>3</v>
      </c>
      <c r="K4" s="58">
        <v>0</v>
      </c>
      <c r="L4" s="58">
        <v>0</v>
      </c>
    </row>
    <row r="5" spans="1:12">
      <c r="A5" s="58">
        <v>104</v>
      </c>
      <c r="B5" s="58" t="s">
        <v>613</v>
      </c>
      <c r="C5" s="58">
        <v>1</v>
      </c>
      <c r="D5" s="58">
        <v>0</v>
      </c>
      <c r="E5" s="58">
        <v>0</v>
      </c>
      <c r="F5" s="58">
        <v>15</v>
      </c>
      <c r="G5" s="58">
        <v>4</v>
      </c>
      <c r="H5" s="58">
        <v>0.1</v>
      </c>
      <c r="I5" s="58">
        <v>30</v>
      </c>
      <c r="J5" s="58">
        <v>1</v>
      </c>
      <c r="K5" s="58">
        <v>0</v>
      </c>
      <c r="L5" s="58">
        <v>0</v>
      </c>
    </row>
    <row r="6" spans="1:12">
      <c r="A6" s="58">
        <v>105</v>
      </c>
      <c r="B6" s="58" t="s">
        <v>614</v>
      </c>
      <c r="C6" s="58">
        <v>1</v>
      </c>
      <c r="D6" s="58">
        <v>0</v>
      </c>
      <c r="E6" s="58">
        <v>0</v>
      </c>
      <c r="F6" s="58">
        <v>15</v>
      </c>
      <c r="G6" s="58">
        <v>8</v>
      </c>
      <c r="H6" s="58">
        <v>0.1</v>
      </c>
      <c r="I6" s="58">
        <v>30</v>
      </c>
      <c r="J6" s="58">
        <v>1</v>
      </c>
      <c r="K6" s="58">
        <v>0</v>
      </c>
      <c r="L6" s="58">
        <v>0</v>
      </c>
    </row>
    <row r="7" spans="1:12">
      <c r="A7" s="58">
        <v>106</v>
      </c>
      <c r="B7" s="58" t="s">
        <v>615</v>
      </c>
      <c r="C7" s="58">
        <v>1</v>
      </c>
      <c r="D7" s="58">
        <v>0</v>
      </c>
      <c r="E7" s="58">
        <v>0</v>
      </c>
      <c r="F7" s="58">
        <v>12</v>
      </c>
      <c r="G7" s="58">
        <v>4</v>
      </c>
      <c r="H7" s="58">
        <v>0.2</v>
      </c>
      <c r="I7" s="58">
        <v>1300</v>
      </c>
      <c r="J7" s="58">
        <v>6</v>
      </c>
      <c r="K7" s="58">
        <v>0</v>
      </c>
      <c r="L7" s="58">
        <v>0</v>
      </c>
    </row>
    <row r="8" spans="1:12">
      <c r="A8" s="58">
        <v>107</v>
      </c>
      <c r="B8" s="58" t="s">
        <v>616</v>
      </c>
      <c r="C8" s="58">
        <v>0</v>
      </c>
      <c r="D8" s="58">
        <v>0</v>
      </c>
      <c r="E8" s="58">
        <v>1</v>
      </c>
      <c r="F8" s="58">
        <v>6</v>
      </c>
      <c r="G8" s="58">
        <v>1</v>
      </c>
      <c r="H8" s="58">
        <v>0</v>
      </c>
      <c r="I8" s="58">
        <v>0</v>
      </c>
      <c r="J8" s="58">
        <v>2</v>
      </c>
      <c r="K8" s="58">
        <v>2</v>
      </c>
      <c r="L8" s="58">
        <v>0.5</v>
      </c>
    </row>
    <row r="9" spans="1:12">
      <c r="A9" s="58">
        <v>108</v>
      </c>
      <c r="B9" s="58" t="s">
        <v>617</v>
      </c>
      <c r="C9" s="58">
        <v>0</v>
      </c>
      <c r="D9" s="58">
        <v>1</v>
      </c>
      <c r="E9" s="58">
        <v>1</v>
      </c>
      <c r="F9" s="58">
        <v>10</v>
      </c>
      <c r="G9" s="58">
        <v>1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</row>
    <row r="10" spans="1:12">
      <c r="A10" s="58">
        <v>109</v>
      </c>
      <c r="B10" s="58" t="s">
        <v>618</v>
      </c>
      <c r="C10" s="58">
        <v>0</v>
      </c>
      <c r="D10" s="58">
        <v>1</v>
      </c>
      <c r="E10" s="58">
        <v>1</v>
      </c>
      <c r="F10" s="58">
        <v>8</v>
      </c>
      <c r="G10" s="58">
        <v>1</v>
      </c>
      <c r="H10" s="58">
        <v>0</v>
      </c>
      <c r="I10" s="58">
        <v>0</v>
      </c>
      <c r="J10" s="58">
        <v>0</v>
      </c>
      <c r="K10" s="58">
        <v>0</v>
      </c>
      <c r="L10" s="58">
        <v>0</v>
      </c>
    </row>
    <row r="11" spans="1:12">
      <c r="A11" s="58">
        <v>110</v>
      </c>
      <c r="B11" s="58" t="s">
        <v>619</v>
      </c>
      <c r="C11" s="58">
        <v>0</v>
      </c>
      <c r="D11" s="58">
        <v>1</v>
      </c>
      <c r="E11" s="58">
        <v>1</v>
      </c>
      <c r="F11" s="58">
        <v>8</v>
      </c>
      <c r="G11" s="58">
        <v>1</v>
      </c>
      <c r="H11" s="58">
        <v>0</v>
      </c>
      <c r="I11" s="58">
        <v>0</v>
      </c>
      <c r="J11" s="58">
        <v>0</v>
      </c>
      <c r="K11" s="58">
        <v>0</v>
      </c>
      <c r="L11" s="58">
        <v>0</v>
      </c>
    </row>
    <row r="12" spans="1:12">
      <c r="A12" s="58">
        <v>200</v>
      </c>
      <c r="B12" s="58" t="s">
        <v>620</v>
      </c>
      <c r="C12" s="58">
        <v>0</v>
      </c>
      <c r="D12" s="58">
        <v>0</v>
      </c>
      <c r="E12" s="58">
        <v>0</v>
      </c>
      <c r="F12" s="58">
        <v>0</v>
      </c>
      <c r="G12" s="58">
        <v>1</v>
      </c>
      <c r="H12" s="58">
        <v>0</v>
      </c>
      <c r="I12" s="58">
        <v>0</v>
      </c>
      <c r="J12" s="58">
        <v>0</v>
      </c>
      <c r="K12" s="58">
        <v>2.5</v>
      </c>
      <c r="L12" s="58">
        <v>0</v>
      </c>
    </row>
    <row r="13" spans="1:12">
      <c r="A13" s="58">
        <v>201</v>
      </c>
      <c r="B13" s="58" t="s">
        <v>621</v>
      </c>
      <c r="C13" s="58">
        <v>0</v>
      </c>
      <c r="D13" s="58">
        <v>0</v>
      </c>
      <c r="E13" s="58">
        <v>0</v>
      </c>
      <c r="F13" s="58">
        <v>0</v>
      </c>
      <c r="G13" s="58">
        <v>1</v>
      </c>
      <c r="H13" s="58">
        <v>0</v>
      </c>
      <c r="I13" s="58">
        <v>0</v>
      </c>
      <c r="J13" s="58">
        <v>0</v>
      </c>
      <c r="K13" s="58">
        <v>2.7</v>
      </c>
      <c r="L13" s="58">
        <v>0</v>
      </c>
    </row>
    <row r="14" spans="1:12">
      <c r="A14" s="58">
        <v>202</v>
      </c>
      <c r="B14" s="58" t="s">
        <v>622</v>
      </c>
      <c r="C14" s="58">
        <v>0</v>
      </c>
      <c r="D14" s="58">
        <v>0</v>
      </c>
      <c r="E14" s="58">
        <v>0</v>
      </c>
      <c r="F14" s="58">
        <v>0</v>
      </c>
      <c r="G14" s="58">
        <v>1</v>
      </c>
      <c r="H14" s="58">
        <v>0</v>
      </c>
      <c r="I14" s="58">
        <v>0</v>
      </c>
      <c r="J14" s="58">
        <v>0</v>
      </c>
      <c r="K14" s="58">
        <v>3</v>
      </c>
      <c r="L14" s="58">
        <v>0</v>
      </c>
    </row>
    <row r="15" spans="1:12">
      <c r="A15" s="58">
        <v>203</v>
      </c>
      <c r="B15" s="58" t="s">
        <v>623</v>
      </c>
      <c r="C15" s="58">
        <v>0</v>
      </c>
      <c r="D15" s="58">
        <v>0</v>
      </c>
      <c r="E15" s="58">
        <v>0</v>
      </c>
      <c r="F15" s="58">
        <v>0</v>
      </c>
      <c r="G15" s="58">
        <v>1</v>
      </c>
      <c r="H15" s="58">
        <v>0</v>
      </c>
      <c r="I15" s="58">
        <v>0</v>
      </c>
      <c r="J15" s="58">
        <v>0</v>
      </c>
      <c r="K15" s="58">
        <v>3.3</v>
      </c>
      <c r="L15" s="58">
        <v>0</v>
      </c>
    </row>
    <row r="16" spans="1:12">
      <c r="A16" s="58">
        <v>204</v>
      </c>
      <c r="B16" s="58" t="s">
        <v>624</v>
      </c>
      <c r="C16" s="58">
        <v>0</v>
      </c>
      <c r="D16" s="58">
        <v>0</v>
      </c>
      <c r="E16" s="58">
        <v>0</v>
      </c>
      <c r="F16" s="58">
        <v>0</v>
      </c>
      <c r="G16" s="58">
        <v>1</v>
      </c>
      <c r="H16" s="58">
        <v>0</v>
      </c>
      <c r="I16" s="58">
        <v>0</v>
      </c>
      <c r="J16" s="58">
        <v>0</v>
      </c>
      <c r="K16" s="58">
        <v>3.5</v>
      </c>
      <c r="L16" s="58">
        <v>0</v>
      </c>
    </row>
    <row r="17" spans="1:12">
      <c r="A17" s="58">
        <v>205</v>
      </c>
      <c r="B17" s="58" t="s">
        <v>625</v>
      </c>
      <c r="C17" s="58">
        <v>0</v>
      </c>
      <c r="D17" s="58">
        <v>0</v>
      </c>
      <c r="E17" s="58">
        <v>0</v>
      </c>
      <c r="F17" s="58">
        <v>0</v>
      </c>
      <c r="G17" s="58">
        <v>1</v>
      </c>
      <c r="H17" s="58">
        <v>0</v>
      </c>
      <c r="I17" s="58">
        <v>0</v>
      </c>
      <c r="J17" s="58">
        <v>0</v>
      </c>
      <c r="K17" s="58">
        <v>3.7</v>
      </c>
      <c r="L17" s="58">
        <v>0</v>
      </c>
    </row>
    <row r="18" spans="1:12">
      <c r="A18" s="58">
        <v>206</v>
      </c>
      <c r="B18" s="58" t="s">
        <v>626</v>
      </c>
      <c r="C18" s="58">
        <v>0</v>
      </c>
      <c r="D18" s="58">
        <v>0</v>
      </c>
      <c r="E18" s="58">
        <v>0</v>
      </c>
      <c r="F18" s="58">
        <v>0</v>
      </c>
      <c r="G18" s="58">
        <v>1</v>
      </c>
      <c r="H18" s="58">
        <v>0</v>
      </c>
      <c r="I18" s="58">
        <v>0</v>
      </c>
      <c r="J18" s="58">
        <v>0</v>
      </c>
      <c r="K18" s="58">
        <v>4</v>
      </c>
      <c r="L18" s="58">
        <v>0</v>
      </c>
    </row>
    <row r="19" spans="1:12">
      <c r="A19" s="58">
        <v>207</v>
      </c>
      <c r="B19" s="58" t="s">
        <v>627</v>
      </c>
      <c r="C19" s="58">
        <v>0</v>
      </c>
      <c r="D19" s="58">
        <v>0</v>
      </c>
      <c r="E19" s="58">
        <v>0</v>
      </c>
      <c r="F19" s="58">
        <v>0</v>
      </c>
      <c r="G19" s="58">
        <v>1</v>
      </c>
      <c r="H19" s="58">
        <v>0</v>
      </c>
      <c r="I19" s="58">
        <v>0</v>
      </c>
      <c r="J19" s="58">
        <v>0</v>
      </c>
      <c r="K19" s="58">
        <v>4.2</v>
      </c>
      <c r="L19" s="58">
        <v>0</v>
      </c>
    </row>
    <row r="20" spans="1:12">
      <c r="A20" s="58">
        <v>208</v>
      </c>
      <c r="B20" s="58" t="s">
        <v>628</v>
      </c>
      <c r="C20" s="58">
        <v>0</v>
      </c>
      <c r="D20" s="58">
        <v>0</v>
      </c>
      <c r="E20" s="58">
        <v>0</v>
      </c>
      <c r="F20" s="58">
        <v>0</v>
      </c>
      <c r="G20" s="58">
        <v>1</v>
      </c>
      <c r="H20" s="58">
        <v>0</v>
      </c>
      <c r="I20" s="58">
        <v>0</v>
      </c>
      <c r="J20" s="58">
        <v>0</v>
      </c>
      <c r="K20" s="58">
        <v>4.5</v>
      </c>
      <c r="L20" s="58">
        <v>0</v>
      </c>
    </row>
    <row r="21" spans="1:12">
      <c r="A21" s="58">
        <v>209</v>
      </c>
      <c r="B21" s="58" t="s">
        <v>629</v>
      </c>
      <c r="C21" s="58">
        <v>0</v>
      </c>
      <c r="D21" s="58">
        <v>0</v>
      </c>
      <c r="E21" s="58">
        <v>0</v>
      </c>
      <c r="F21" s="58">
        <v>0</v>
      </c>
      <c r="G21" s="58">
        <v>1</v>
      </c>
      <c r="H21" s="58">
        <v>0</v>
      </c>
      <c r="I21" s="58">
        <v>0</v>
      </c>
      <c r="J21" s="58">
        <v>0</v>
      </c>
      <c r="K21" s="58">
        <v>4.7</v>
      </c>
      <c r="L21" s="58">
        <v>0</v>
      </c>
    </row>
  </sheetData>
  <phoneticPr fontId="3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H7"/>
  <sheetViews>
    <sheetView workbookViewId="0">
      <selection activeCell="C1" sqref="C1"/>
    </sheetView>
  </sheetViews>
  <sheetFormatPr defaultRowHeight="16.5"/>
  <cols>
    <col min="1" max="1" width="6.5" bestFit="1" customWidth="1"/>
    <col min="2" max="2" width="12.5" bestFit="1" customWidth="1"/>
    <col min="3" max="3" width="16.5" bestFit="1" customWidth="1"/>
    <col min="4" max="4" width="5.375" bestFit="1" customWidth="1"/>
    <col min="5" max="5" width="4.5" bestFit="1" customWidth="1"/>
    <col min="6" max="6" width="5.125" bestFit="1" customWidth="1"/>
    <col min="7" max="7" width="8.25" bestFit="1" customWidth="1"/>
    <col min="8" max="8" width="14.375" bestFit="1" customWidth="1"/>
    <col min="9" max="9" width="22" bestFit="1" customWidth="1"/>
    <col min="10" max="10" width="23" bestFit="1" customWidth="1"/>
    <col min="11" max="11" width="13.5" bestFit="1" customWidth="1"/>
    <col min="12" max="12" width="18.875" bestFit="1" customWidth="1"/>
    <col min="13" max="13" width="11" bestFit="1" customWidth="1"/>
    <col min="14" max="14" width="10.375" bestFit="1" customWidth="1"/>
    <col min="15" max="15" width="10.125" bestFit="1" customWidth="1"/>
    <col min="16" max="16" width="13.625" bestFit="1" customWidth="1"/>
    <col min="17" max="17" width="12.625" bestFit="1" customWidth="1"/>
    <col min="18" max="18" width="11.375" bestFit="1" customWidth="1"/>
    <col min="19" max="19" width="16.875" bestFit="1" customWidth="1"/>
    <col min="20" max="20" width="17.25" bestFit="1" customWidth="1"/>
    <col min="21" max="21" width="11.125" bestFit="1" customWidth="1"/>
    <col min="22" max="22" width="12.875" bestFit="1" customWidth="1"/>
    <col min="24" max="24" width="11.375" bestFit="1" customWidth="1"/>
    <col min="25" max="25" width="6.25" bestFit="1" customWidth="1"/>
    <col min="26" max="26" width="26.125" bestFit="1" customWidth="1"/>
    <col min="27" max="27" width="27.625" bestFit="1" customWidth="1"/>
    <col min="28" max="29" width="12.5" bestFit="1" customWidth="1"/>
    <col min="30" max="30" width="13.5" bestFit="1" customWidth="1"/>
    <col min="31" max="31" width="23" bestFit="1" customWidth="1"/>
    <col min="32" max="32" width="19.25" bestFit="1" customWidth="1"/>
    <col min="33" max="33" width="8.25" bestFit="1" customWidth="1"/>
    <col min="34" max="34" width="9.625" bestFit="1" customWidth="1"/>
  </cols>
  <sheetData>
    <row r="1" spans="1:34">
      <c r="A1" s="38" t="s">
        <v>569</v>
      </c>
      <c r="B1" s="38" t="s">
        <v>171</v>
      </c>
      <c r="C1" s="38" t="s">
        <v>1162</v>
      </c>
      <c r="D1" s="38" t="s">
        <v>153</v>
      </c>
      <c r="E1" s="38" t="s">
        <v>494</v>
      </c>
      <c r="F1" s="38" t="s">
        <v>630</v>
      </c>
      <c r="G1" s="38" t="s">
        <v>496</v>
      </c>
      <c r="H1" s="38" t="s">
        <v>631</v>
      </c>
      <c r="I1" s="38" t="s">
        <v>498</v>
      </c>
      <c r="J1" s="38" t="s">
        <v>499</v>
      </c>
      <c r="K1" s="38" t="s">
        <v>174</v>
      </c>
      <c r="L1" s="38" t="s">
        <v>501</v>
      </c>
      <c r="M1" s="38" t="s">
        <v>570</v>
      </c>
      <c r="N1" s="38" t="s">
        <v>632</v>
      </c>
      <c r="O1" s="38" t="s">
        <v>572</v>
      </c>
      <c r="P1" s="38" t="s">
        <v>574</v>
      </c>
      <c r="Q1" s="38" t="s">
        <v>575</v>
      </c>
      <c r="R1" s="38" t="s">
        <v>509</v>
      </c>
      <c r="S1" s="38" t="s">
        <v>578</v>
      </c>
      <c r="T1" s="38" t="s">
        <v>579</v>
      </c>
      <c r="U1" s="38" t="s">
        <v>580</v>
      </c>
      <c r="V1" s="38" t="s">
        <v>633</v>
      </c>
      <c r="W1" s="38" t="s">
        <v>442</v>
      </c>
      <c r="X1" s="38" t="s">
        <v>581</v>
      </c>
      <c r="Y1" s="38" t="s">
        <v>582</v>
      </c>
      <c r="Z1" s="38" t="s">
        <v>123</v>
      </c>
      <c r="AA1" s="38" t="s">
        <v>511</v>
      </c>
      <c r="AB1" s="38" t="s">
        <v>634</v>
      </c>
      <c r="AC1" s="38" t="s">
        <v>635</v>
      </c>
      <c r="AD1" s="38" t="s">
        <v>636</v>
      </c>
      <c r="AE1" s="38" t="s">
        <v>637</v>
      </c>
      <c r="AF1" s="38" t="s">
        <v>638</v>
      </c>
      <c r="AG1" s="38" t="s">
        <v>177</v>
      </c>
      <c r="AH1" s="38" t="s">
        <v>262</v>
      </c>
    </row>
    <row r="2" spans="1:34">
      <c r="A2" s="46">
        <v>15401</v>
      </c>
      <c r="B2" s="46">
        <v>15400</v>
      </c>
      <c r="C2" s="46" t="s">
        <v>639</v>
      </c>
      <c r="D2" s="46">
        <v>1</v>
      </c>
      <c r="E2" s="46">
        <v>560</v>
      </c>
      <c r="F2" s="46">
        <v>3</v>
      </c>
      <c r="G2" s="46" t="s">
        <v>205</v>
      </c>
      <c r="H2" s="46" t="s">
        <v>205</v>
      </c>
      <c r="I2" s="46">
        <v>1</v>
      </c>
      <c r="J2" s="46">
        <v>5000</v>
      </c>
      <c r="K2" s="46">
        <v>120</v>
      </c>
      <c r="L2" s="46">
        <v>4</v>
      </c>
      <c r="M2" s="46">
        <v>1</v>
      </c>
      <c r="N2" s="46">
        <v>20100</v>
      </c>
      <c r="O2" s="46">
        <v>1</v>
      </c>
      <c r="P2" s="46">
        <v>0</v>
      </c>
      <c r="Q2" s="46">
        <v>5</v>
      </c>
      <c r="R2" s="46">
        <v>9</v>
      </c>
      <c r="S2" s="46">
        <v>9</v>
      </c>
      <c r="T2" s="46">
        <v>9</v>
      </c>
      <c r="U2" s="46" t="s">
        <v>640</v>
      </c>
      <c r="V2" s="46">
        <v>40</v>
      </c>
      <c r="W2" s="46">
        <v>102</v>
      </c>
      <c r="X2" s="46">
        <v>1</v>
      </c>
      <c r="Y2" s="46">
        <v>0</v>
      </c>
      <c r="Z2" s="46" t="s">
        <v>213</v>
      </c>
      <c r="AA2" s="46" t="s">
        <v>591</v>
      </c>
      <c r="AB2" s="46">
        <v>60076</v>
      </c>
      <c r="AC2" s="46">
        <v>60077</v>
      </c>
      <c r="AD2" s="46">
        <v>60078</v>
      </c>
      <c r="AE2" s="46">
        <v>1</v>
      </c>
      <c r="AF2" s="46">
        <v>1</v>
      </c>
      <c r="AG2" s="46">
        <v>15401</v>
      </c>
      <c r="AH2" s="46" t="s">
        <v>182</v>
      </c>
    </row>
    <row r="3" spans="1:34">
      <c r="A3" s="46">
        <v>15402</v>
      </c>
      <c r="B3" s="46">
        <v>15400</v>
      </c>
      <c r="C3" s="46" t="s">
        <v>639</v>
      </c>
      <c r="D3" s="46">
        <v>2</v>
      </c>
      <c r="E3" s="46">
        <v>610</v>
      </c>
      <c r="F3" s="46">
        <v>3</v>
      </c>
      <c r="G3" s="46" t="s">
        <v>205</v>
      </c>
      <c r="H3" s="46" t="s">
        <v>205</v>
      </c>
      <c r="I3" s="46">
        <v>1</v>
      </c>
      <c r="J3" s="46">
        <v>20000</v>
      </c>
      <c r="K3" s="46">
        <v>1800</v>
      </c>
      <c r="L3" s="46">
        <v>5</v>
      </c>
      <c r="M3" s="46">
        <v>1</v>
      </c>
      <c r="N3" s="46">
        <v>20100</v>
      </c>
      <c r="O3" s="46">
        <v>1</v>
      </c>
      <c r="P3" s="46">
        <v>0</v>
      </c>
      <c r="Q3" s="46">
        <v>5</v>
      </c>
      <c r="R3" s="46">
        <v>9</v>
      </c>
      <c r="S3" s="46">
        <v>9</v>
      </c>
      <c r="T3" s="46">
        <v>9</v>
      </c>
      <c r="U3" s="46" t="s">
        <v>640</v>
      </c>
      <c r="V3" s="46">
        <v>52</v>
      </c>
      <c r="W3" s="46">
        <v>102</v>
      </c>
      <c r="X3" s="46">
        <v>1</v>
      </c>
      <c r="Y3" s="46">
        <v>0</v>
      </c>
      <c r="Z3" s="46" t="s">
        <v>213</v>
      </c>
      <c r="AA3" s="46" t="s">
        <v>591</v>
      </c>
      <c r="AB3" s="46">
        <v>60076</v>
      </c>
      <c r="AC3" s="46">
        <v>60077</v>
      </c>
      <c r="AD3" s="46">
        <v>60078</v>
      </c>
      <c r="AE3" s="46">
        <v>2</v>
      </c>
      <c r="AF3" s="46">
        <v>2</v>
      </c>
      <c r="AG3" s="46">
        <v>15401</v>
      </c>
      <c r="AH3" s="46" t="s">
        <v>182</v>
      </c>
    </row>
    <row r="4" spans="1:34">
      <c r="A4" s="46">
        <v>15403</v>
      </c>
      <c r="B4" s="46">
        <v>15400</v>
      </c>
      <c r="C4" s="46" t="s">
        <v>639</v>
      </c>
      <c r="D4" s="46">
        <v>3</v>
      </c>
      <c r="E4" s="46">
        <v>670</v>
      </c>
      <c r="F4" s="46">
        <v>3</v>
      </c>
      <c r="G4" s="46" t="s">
        <v>205</v>
      </c>
      <c r="H4" s="46" t="s">
        <v>205</v>
      </c>
      <c r="I4" s="46">
        <v>1</v>
      </c>
      <c r="J4" s="46">
        <v>40000</v>
      </c>
      <c r="K4" s="46">
        <v>2520</v>
      </c>
      <c r="L4" s="46">
        <v>9</v>
      </c>
      <c r="M4" s="46">
        <v>1</v>
      </c>
      <c r="N4" s="46">
        <v>20100</v>
      </c>
      <c r="O4" s="46">
        <v>1</v>
      </c>
      <c r="P4" s="46">
        <v>0</v>
      </c>
      <c r="Q4" s="46">
        <v>5</v>
      </c>
      <c r="R4" s="46">
        <v>9</v>
      </c>
      <c r="S4" s="46">
        <v>9</v>
      </c>
      <c r="T4" s="46">
        <v>9</v>
      </c>
      <c r="U4" s="46" t="s">
        <v>640</v>
      </c>
      <c r="V4" s="46">
        <v>65</v>
      </c>
      <c r="W4" s="46">
        <v>102</v>
      </c>
      <c r="X4" s="46">
        <v>1</v>
      </c>
      <c r="Y4" s="46">
        <v>0</v>
      </c>
      <c r="Z4" s="46" t="s">
        <v>213</v>
      </c>
      <c r="AA4" s="46" t="s">
        <v>591</v>
      </c>
      <c r="AB4" s="46">
        <v>60076</v>
      </c>
      <c r="AC4" s="46">
        <v>60077</v>
      </c>
      <c r="AD4" s="46">
        <v>60078</v>
      </c>
      <c r="AE4" s="46">
        <v>3</v>
      </c>
      <c r="AF4" s="46">
        <v>3</v>
      </c>
      <c r="AG4" s="46">
        <v>15401</v>
      </c>
      <c r="AH4" s="46" t="s">
        <v>182</v>
      </c>
    </row>
    <row r="5" spans="1:34">
      <c r="A5" s="46">
        <v>15404</v>
      </c>
      <c r="B5" s="46">
        <v>15400</v>
      </c>
      <c r="C5" s="46" t="s">
        <v>639</v>
      </c>
      <c r="D5" s="46">
        <v>4</v>
      </c>
      <c r="E5" s="46">
        <v>740</v>
      </c>
      <c r="F5" s="46">
        <v>3</v>
      </c>
      <c r="G5" s="46" t="s">
        <v>205</v>
      </c>
      <c r="H5" s="46" t="s">
        <v>205</v>
      </c>
      <c r="I5" s="46">
        <v>1</v>
      </c>
      <c r="J5" s="46">
        <v>0</v>
      </c>
      <c r="K5" s="46">
        <v>0</v>
      </c>
      <c r="L5" s="46">
        <v>10</v>
      </c>
      <c r="M5" s="46">
        <v>1</v>
      </c>
      <c r="N5" s="46">
        <v>20100</v>
      </c>
      <c r="O5" s="46">
        <v>1</v>
      </c>
      <c r="P5" s="46">
        <v>0</v>
      </c>
      <c r="Q5" s="46">
        <v>5</v>
      </c>
      <c r="R5" s="46">
        <v>9</v>
      </c>
      <c r="S5" s="46">
        <v>9</v>
      </c>
      <c r="T5" s="46">
        <v>9</v>
      </c>
      <c r="U5" s="46" t="s">
        <v>640</v>
      </c>
      <c r="V5" s="46">
        <v>79</v>
      </c>
      <c r="W5" s="46">
        <v>102</v>
      </c>
      <c r="X5" s="46">
        <v>1</v>
      </c>
      <c r="Y5" s="46">
        <v>0</v>
      </c>
      <c r="Z5" s="46" t="s">
        <v>213</v>
      </c>
      <c r="AA5" s="46" t="s">
        <v>591</v>
      </c>
      <c r="AB5" s="46">
        <v>60076</v>
      </c>
      <c r="AC5" s="46">
        <v>60077</v>
      </c>
      <c r="AD5" s="46">
        <v>60078</v>
      </c>
      <c r="AE5" s="46">
        <v>4</v>
      </c>
      <c r="AF5" s="46">
        <v>4</v>
      </c>
      <c r="AG5" s="46">
        <v>15401</v>
      </c>
      <c r="AH5" s="46" t="s">
        <v>182</v>
      </c>
    </row>
    <row r="6" spans="1:34">
      <c r="A6" s="46">
        <v>15901</v>
      </c>
      <c r="B6" s="46">
        <v>15900</v>
      </c>
      <c r="C6" s="46" t="s">
        <v>641</v>
      </c>
      <c r="D6" s="46">
        <v>1</v>
      </c>
      <c r="E6" s="46">
        <v>560</v>
      </c>
      <c r="F6" s="46">
        <v>2</v>
      </c>
      <c r="G6" s="46" t="s">
        <v>205</v>
      </c>
      <c r="H6" s="46" t="s">
        <v>205</v>
      </c>
      <c r="I6" s="46">
        <v>1</v>
      </c>
      <c r="J6" s="46">
        <v>350000</v>
      </c>
      <c r="K6" s="46">
        <v>6840</v>
      </c>
      <c r="L6" s="46">
        <v>9</v>
      </c>
      <c r="M6" s="46">
        <v>5</v>
      </c>
      <c r="N6" s="46">
        <v>20100</v>
      </c>
      <c r="O6" s="46">
        <v>2</v>
      </c>
      <c r="P6" s="46">
        <v>0</v>
      </c>
      <c r="Q6" s="46">
        <v>0.3</v>
      </c>
      <c r="R6" s="46">
        <v>6</v>
      </c>
      <c r="S6" s="46">
        <v>6</v>
      </c>
      <c r="T6" s="46">
        <v>6</v>
      </c>
      <c r="U6" s="46" t="s">
        <v>642</v>
      </c>
      <c r="V6" s="46">
        <v>5</v>
      </c>
      <c r="W6" s="46">
        <v>109</v>
      </c>
      <c r="X6" s="46">
        <v>0</v>
      </c>
      <c r="Y6" s="46">
        <v>0</v>
      </c>
      <c r="Z6" s="46" t="s">
        <v>223</v>
      </c>
      <c r="AA6" s="46" t="s">
        <v>599</v>
      </c>
      <c r="AB6" s="46">
        <v>60089</v>
      </c>
      <c r="AC6" s="46">
        <v>0</v>
      </c>
      <c r="AD6" s="46">
        <v>60090</v>
      </c>
      <c r="AE6" s="46">
        <v>1</v>
      </c>
      <c r="AF6" s="46">
        <v>0</v>
      </c>
      <c r="AG6" s="46">
        <v>15901</v>
      </c>
      <c r="AH6" s="46" t="s">
        <v>182</v>
      </c>
    </row>
    <row r="7" spans="1:34">
      <c r="A7" s="46">
        <v>15902</v>
      </c>
      <c r="B7" s="46">
        <v>15900</v>
      </c>
      <c r="C7" s="46" t="s">
        <v>641</v>
      </c>
      <c r="D7" s="46">
        <v>2</v>
      </c>
      <c r="E7" s="46">
        <v>670</v>
      </c>
      <c r="F7" s="46">
        <v>2</v>
      </c>
      <c r="G7" s="46" t="s">
        <v>205</v>
      </c>
      <c r="H7" s="46" t="s">
        <v>205</v>
      </c>
      <c r="I7" s="46">
        <v>1</v>
      </c>
      <c r="J7" s="46">
        <v>0</v>
      </c>
      <c r="K7" s="46">
        <v>0</v>
      </c>
      <c r="L7" s="46">
        <v>10</v>
      </c>
      <c r="M7" s="46">
        <v>5</v>
      </c>
      <c r="N7" s="46">
        <v>20100</v>
      </c>
      <c r="O7" s="46">
        <v>2</v>
      </c>
      <c r="P7" s="46">
        <v>0</v>
      </c>
      <c r="Q7" s="46">
        <v>0.3</v>
      </c>
      <c r="R7" s="46">
        <v>6</v>
      </c>
      <c r="S7" s="46">
        <v>6</v>
      </c>
      <c r="T7" s="46">
        <v>6</v>
      </c>
      <c r="U7" s="46" t="s">
        <v>642</v>
      </c>
      <c r="V7" s="46">
        <v>6</v>
      </c>
      <c r="W7" s="46">
        <v>109</v>
      </c>
      <c r="X7" s="46">
        <v>0</v>
      </c>
      <c r="Y7" s="46">
        <v>0</v>
      </c>
      <c r="Z7" s="46" t="s">
        <v>223</v>
      </c>
      <c r="AA7" s="46" t="s">
        <v>599</v>
      </c>
      <c r="AB7" s="46">
        <v>60089</v>
      </c>
      <c r="AC7" s="46">
        <v>0</v>
      </c>
      <c r="AD7" s="46">
        <v>60090</v>
      </c>
      <c r="AE7" s="46">
        <v>2</v>
      </c>
      <c r="AF7" s="46">
        <v>0</v>
      </c>
      <c r="AG7" s="46">
        <v>15901</v>
      </c>
      <c r="AH7" s="46" t="s">
        <v>182</v>
      </c>
    </row>
  </sheetData>
  <phoneticPr fontId="3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F16"/>
  <sheetViews>
    <sheetView topLeftCell="Q1" workbookViewId="0">
      <selection activeCell="AF22" sqref="AF22"/>
    </sheetView>
  </sheetViews>
  <sheetFormatPr defaultRowHeight="16.5"/>
  <cols>
    <col min="1" max="1" width="13.75" bestFit="1" customWidth="1"/>
    <col min="2" max="2" width="17.375" bestFit="1" customWidth="1"/>
    <col min="3" max="3" width="15.875" bestFit="1" customWidth="1"/>
    <col min="4" max="4" width="11" bestFit="1" customWidth="1"/>
    <col min="5" max="5" width="10.125" bestFit="1" customWidth="1"/>
    <col min="6" max="6" width="12.125" bestFit="1" customWidth="1"/>
    <col min="7" max="7" width="10.375" bestFit="1" customWidth="1"/>
    <col min="8" max="8" width="15.625" bestFit="1" customWidth="1"/>
    <col min="9" max="9" width="11.375" bestFit="1" customWidth="1"/>
    <col min="10" max="10" width="17.375" bestFit="1" customWidth="1"/>
    <col min="11" max="11" width="13.625" bestFit="1" customWidth="1"/>
    <col min="12" max="12" width="12.625" bestFit="1" customWidth="1"/>
    <col min="13" max="13" width="12.5" bestFit="1" customWidth="1"/>
    <col min="14" max="14" width="11.125" bestFit="1" customWidth="1"/>
    <col min="15" max="15" width="12.625" bestFit="1" customWidth="1"/>
    <col min="16" max="16" width="12.375" bestFit="1" customWidth="1"/>
    <col min="17" max="17" width="14.75" bestFit="1" customWidth="1"/>
    <col min="18" max="18" width="10.5" bestFit="1" customWidth="1"/>
    <col min="19" max="19" width="12.125" bestFit="1" customWidth="1"/>
    <col min="20" max="20" width="13.375" bestFit="1" customWidth="1"/>
    <col min="21" max="21" width="8.25" bestFit="1" customWidth="1"/>
    <col min="22" max="22" width="34" bestFit="1" customWidth="1"/>
    <col min="23" max="23" width="38.25" bestFit="1" customWidth="1"/>
    <col min="24" max="24" width="8" bestFit="1" customWidth="1"/>
    <col min="25" max="25" width="8.75" bestFit="1" customWidth="1"/>
    <col min="26" max="26" width="10" bestFit="1" customWidth="1"/>
    <col min="27" max="27" width="11.125" bestFit="1" customWidth="1"/>
    <col min="28" max="28" width="10" bestFit="1" customWidth="1"/>
    <col min="29" max="29" width="16.25" bestFit="1" customWidth="1"/>
    <col min="30" max="31" width="7.875" bestFit="1" customWidth="1"/>
    <col min="32" max="32" width="14.875" bestFit="1" customWidth="1"/>
  </cols>
  <sheetData>
    <row r="1" spans="1:32">
      <c r="A1" s="56" t="s">
        <v>643</v>
      </c>
      <c r="B1" s="77" t="s">
        <v>1162</v>
      </c>
      <c r="C1" s="56" t="s">
        <v>644</v>
      </c>
      <c r="D1" s="56" t="s">
        <v>570</v>
      </c>
      <c r="E1" s="56" t="s">
        <v>645</v>
      </c>
      <c r="F1" s="56" t="s">
        <v>646</v>
      </c>
      <c r="G1" s="56" t="s">
        <v>632</v>
      </c>
      <c r="H1" s="56" t="s">
        <v>647</v>
      </c>
      <c r="I1" s="56" t="s">
        <v>648</v>
      </c>
      <c r="J1" s="56" t="s">
        <v>649</v>
      </c>
      <c r="K1" s="56" t="s">
        <v>294</v>
      </c>
      <c r="L1" s="56" t="s">
        <v>575</v>
      </c>
      <c r="M1" s="56" t="s">
        <v>650</v>
      </c>
      <c r="N1" s="56" t="s">
        <v>580</v>
      </c>
      <c r="O1" s="56" t="s">
        <v>444</v>
      </c>
      <c r="P1" s="56" t="s">
        <v>446</v>
      </c>
      <c r="Q1" s="56" t="s">
        <v>651</v>
      </c>
      <c r="R1" s="56" t="s">
        <v>652</v>
      </c>
      <c r="S1" s="56" t="s">
        <v>407</v>
      </c>
      <c r="T1" s="56" t="s">
        <v>653</v>
      </c>
      <c r="U1" s="56" t="s">
        <v>177</v>
      </c>
      <c r="V1" s="56" t="s">
        <v>123</v>
      </c>
      <c r="W1" s="61" t="s">
        <v>15</v>
      </c>
      <c r="X1" s="56" t="s">
        <v>654</v>
      </c>
      <c r="Y1" s="56" t="s">
        <v>655</v>
      </c>
      <c r="Z1" s="56" t="s">
        <v>656</v>
      </c>
      <c r="AA1" s="56" t="s">
        <v>516</v>
      </c>
      <c r="AB1" s="56" t="s">
        <v>281</v>
      </c>
      <c r="AC1" s="56" t="s">
        <v>282</v>
      </c>
      <c r="AD1" s="56" t="s">
        <v>657</v>
      </c>
      <c r="AE1" s="56" t="s">
        <v>658</v>
      </c>
      <c r="AF1" s="80" t="s">
        <v>1238</v>
      </c>
    </row>
    <row r="2" spans="1:32">
      <c r="A2" s="63">
        <v>20000</v>
      </c>
      <c r="B2" s="63" t="s">
        <v>659</v>
      </c>
      <c r="C2" s="63">
        <v>0</v>
      </c>
      <c r="D2" s="63">
        <v>0</v>
      </c>
      <c r="E2" s="63">
        <v>0</v>
      </c>
      <c r="F2" s="63">
        <v>0</v>
      </c>
      <c r="G2" s="63" t="s">
        <v>523</v>
      </c>
      <c r="H2" s="63">
        <v>0</v>
      </c>
      <c r="I2" s="63">
        <v>0</v>
      </c>
      <c r="J2" s="63">
        <v>0</v>
      </c>
      <c r="K2" s="58">
        <v>0</v>
      </c>
      <c r="L2" s="63">
        <v>0</v>
      </c>
      <c r="M2" s="63">
        <v>0</v>
      </c>
      <c r="N2" s="63"/>
      <c r="O2" s="63">
        <v>0</v>
      </c>
      <c r="P2" s="63">
        <v>0</v>
      </c>
      <c r="Q2" s="63"/>
      <c r="R2" s="63">
        <v>0</v>
      </c>
      <c r="S2" s="63">
        <v>2</v>
      </c>
      <c r="T2" s="63">
        <v>0</v>
      </c>
      <c r="U2" s="63">
        <v>20000</v>
      </c>
      <c r="V2" s="63" t="s">
        <v>660</v>
      </c>
      <c r="W2" s="63" t="s">
        <v>661</v>
      </c>
      <c r="X2" s="58">
        <v>60000</v>
      </c>
      <c r="Y2" s="58">
        <v>60001</v>
      </c>
      <c r="Z2" s="63">
        <v>60002</v>
      </c>
      <c r="AA2" s="63">
        <v>60099</v>
      </c>
      <c r="AB2" s="63">
        <v>0</v>
      </c>
      <c r="AC2" s="63">
        <v>0</v>
      </c>
      <c r="AD2" s="63">
        <v>175</v>
      </c>
      <c r="AE2" s="63">
        <v>156</v>
      </c>
      <c r="AF2" s="63">
        <v>1</v>
      </c>
    </row>
    <row r="3" spans="1:32">
      <c r="A3" s="63">
        <v>20100</v>
      </c>
      <c r="B3" s="63" t="s">
        <v>662</v>
      </c>
      <c r="C3" s="63">
        <v>20101</v>
      </c>
      <c r="D3" s="63">
        <v>1</v>
      </c>
      <c r="E3" s="63">
        <v>0</v>
      </c>
      <c r="F3" s="63">
        <v>1</v>
      </c>
      <c r="G3" s="63" t="s">
        <v>523</v>
      </c>
      <c r="H3" s="63">
        <v>1</v>
      </c>
      <c r="I3" s="63">
        <v>10</v>
      </c>
      <c r="J3" s="63">
        <v>3</v>
      </c>
      <c r="K3" s="63">
        <v>0.1</v>
      </c>
      <c r="L3" s="63">
        <v>1</v>
      </c>
      <c r="M3" s="63">
        <v>0.5</v>
      </c>
      <c r="N3" s="63" t="s">
        <v>308</v>
      </c>
      <c r="O3" s="63">
        <v>0</v>
      </c>
      <c r="P3" s="63">
        <v>0</v>
      </c>
      <c r="Q3" s="63"/>
      <c r="R3" s="63">
        <v>0</v>
      </c>
      <c r="S3" s="63">
        <v>2.2999999999999998</v>
      </c>
      <c r="T3" s="63">
        <v>2</v>
      </c>
      <c r="U3" s="63">
        <v>20100</v>
      </c>
      <c r="V3" s="63" t="s">
        <v>663</v>
      </c>
      <c r="W3" s="63" t="s">
        <v>664</v>
      </c>
      <c r="X3" s="58">
        <v>60003</v>
      </c>
      <c r="Y3" s="58">
        <v>60004</v>
      </c>
      <c r="Z3" s="63">
        <v>60005</v>
      </c>
      <c r="AA3" s="63">
        <v>0</v>
      </c>
      <c r="AB3" s="63">
        <v>100</v>
      </c>
      <c r="AC3" s="63">
        <v>0</v>
      </c>
      <c r="AD3" s="63">
        <v>144</v>
      </c>
      <c r="AE3" s="63">
        <v>124</v>
      </c>
      <c r="AF3" s="63">
        <v>1</v>
      </c>
    </row>
    <row r="4" spans="1:32">
      <c r="A4" s="63">
        <v>20200</v>
      </c>
      <c r="B4" s="63" t="s">
        <v>665</v>
      </c>
      <c r="C4" s="63">
        <v>20201</v>
      </c>
      <c r="D4" s="63">
        <v>1</v>
      </c>
      <c r="E4" s="63">
        <v>2</v>
      </c>
      <c r="F4" s="63">
        <v>2</v>
      </c>
      <c r="G4" s="63" t="s">
        <v>523</v>
      </c>
      <c r="H4" s="63">
        <v>1</v>
      </c>
      <c r="I4" s="63">
        <v>10</v>
      </c>
      <c r="J4" s="63">
        <v>5</v>
      </c>
      <c r="K4" s="63">
        <v>0.2</v>
      </c>
      <c r="L4" s="63">
        <v>1</v>
      </c>
      <c r="M4" s="63">
        <v>3</v>
      </c>
      <c r="N4" s="63" t="s">
        <v>330</v>
      </c>
      <c r="O4" s="63">
        <v>0</v>
      </c>
      <c r="P4" s="63">
        <v>7</v>
      </c>
      <c r="Q4" s="63"/>
      <c r="R4" s="63">
        <v>0</v>
      </c>
      <c r="S4" s="63">
        <v>2</v>
      </c>
      <c r="T4" s="63">
        <v>2</v>
      </c>
      <c r="U4" s="63">
        <v>20200</v>
      </c>
      <c r="V4" s="63" t="s">
        <v>666</v>
      </c>
      <c r="W4" s="63" t="s">
        <v>667</v>
      </c>
      <c r="X4" s="58">
        <v>60006</v>
      </c>
      <c r="Y4" s="58">
        <v>60007</v>
      </c>
      <c r="Z4" s="63">
        <v>60008</v>
      </c>
      <c r="AA4" s="63">
        <v>0</v>
      </c>
      <c r="AB4" s="63">
        <v>0</v>
      </c>
      <c r="AC4" s="63">
        <v>1</v>
      </c>
      <c r="AD4" s="63">
        <v>130</v>
      </c>
      <c r="AE4" s="63">
        <v>142</v>
      </c>
      <c r="AF4" s="63">
        <v>1</v>
      </c>
    </row>
    <row r="5" spans="1:32">
      <c r="A5" s="63">
        <v>20300</v>
      </c>
      <c r="B5" s="63" t="s">
        <v>668</v>
      </c>
      <c r="C5" s="63">
        <v>20301</v>
      </c>
      <c r="D5" s="63">
        <v>1</v>
      </c>
      <c r="E5" s="63">
        <v>0</v>
      </c>
      <c r="F5" s="63">
        <v>3</v>
      </c>
      <c r="G5" s="63" t="s">
        <v>366</v>
      </c>
      <c r="H5" s="63">
        <v>4</v>
      </c>
      <c r="I5" s="63">
        <v>10</v>
      </c>
      <c r="J5" s="63">
        <v>0.2</v>
      </c>
      <c r="K5" s="63">
        <v>0.4</v>
      </c>
      <c r="L5" s="63">
        <v>3</v>
      </c>
      <c r="M5" s="63">
        <v>1</v>
      </c>
      <c r="N5" s="63" t="s">
        <v>308</v>
      </c>
      <c r="O5" s="63">
        <v>0</v>
      </c>
      <c r="P5" s="63">
        <v>0</v>
      </c>
      <c r="Q5" s="63"/>
      <c r="R5" s="63">
        <v>0</v>
      </c>
      <c r="S5" s="63">
        <v>0.8</v>
      </c>
      <c r="T5" s="63">
        <v>2</v>
      </c>
      <c r="U5" s="63">
        <v>20300</v>
      </c>
      <c r="V5" s="63" t="s">
        <v>669</v>
      </c>
      <c r="W5" s="63" t="s">
        <v>670</v>
      </c>
      <c r="X5" s="58">
        <v>60009</v>
      </c>
      <c r="Y5" s="58">
        <v>60010</v>
      </c>
      <c r="Z5" s="63">
        <v>60011</v>
      </c>
      <c r="AA5" s="63">
        <v>0</v>
      </c>
      <c r="AB5" s="63">
        <v>67</v>
      </c>
      <c r="AC5" s="63">
        <v>0</v>
      </c>
      <c r="AD5" s="63">
        <v>163</v>
      </c>
      <c r="AE5" s="63">
        <v>153</v>
      </c>
      <c r="AF5" s="63">
        <v>1</v>
      </c>
    </row>
    <row r="6" spans="1:32">
      <c r="A6" s="63">
        <v>20400</v>
      </c>
      <c r="B6" s="63" t="s">
        <v>671</v>
      </c>
      <c r="C6" s="63">
        <v>20401</v>
      </c>
      <c r="D6" s="63">
        <v>1</v>
      </c>
      <c r="E6" s="63">
        <v>0</v>
      </c>
      <c r="F6" s="63">
        <v>3</v>
      </c>
      <c r="G6" s="63" t="s">
        <v>528</v>
      </c>
      <c r="H6" s="63">
        <v>2</v>
      </c>
      <c r="I6" s="63">
        <v>10</v>
      </c>
      <c r="J6" s="63">
        <v>0.2</v>
      </c>
      <c r="K6" s="63">
        <v>0.1</v>
      </c>
      <c r="L6" s="63">
        <v>1</v>
      </c>
      <c r="M6" s="63">
        <v>0.5</v>
      </c>
      <c r="N6" s="63" t="s">
        <v>308</v>
      </c>
      <c r="O6" s="63">
        <v>0</v>
      </c>
      <c r="P6" s="63">
        <v>0</v>
      </c>
      <c r="Q6" s="63"/>
      <c r="R6" s="63">
        <v>0</v>
      </c>
      <c r="S6" s="63">
        <v>3</v>
      </c>
      <c r="T6" s="63">
        <v>2</v>
      </c>
      <c r="U6" s="63">
        <v>20400</v>
      </c>
      <c r="V6" s="63" t="s">
        <v>672</v>
      </c>
      <c r="W6" s="63" t="s">
        <v>673</v>
      </c>
      <c r="X6" s="58">
        <v>60012</v>
      </c>
      <c r="Y6" s="58">
        <v>60013</v>
      </c>
      <c r="Z6" s="63">
        <v>60014</v>
      </c>
      <c r="AA6" s="63">
        <v>0</v>
      </c>
      <c r="AB6" s="63">
        <v>34</v>
      </c>
      <c r="AC6" s="63">
        <v>0</v>
      </c>
      <c r="AD6" s="63">
        <v>109</v>
      </c>
      <c r="AE6" s="63">
        <v>156</v>
      </c>
      <c r="AF6" s="63">
        <v>2</v>
      </c>
    </row>
    <row r="7" spans="1:32">
      <c r="A7" s="63">
        <v>20500</v>
      </c>
      <c r="B7" s="63" t="s">
        <v>674</v>
      </c>
      <c r="C7" s="63">
        <v>20501</v>
      </c>
      <c r="D7" s="63">
        <v>1</v>
      </c>
      <c r="E7" s="63">
        <v>0</v>
      </c>
      <c r="F7" s="63">
        <v>5</v>
      </c>
      <c r="G7" s="63" t="s">
        <v>523</v>
      </c>
      <c r="H7" s="63">
        <v>4</v>
      </c>
      <c r="I7" s="63">
        <v>10</v>
      </c>
      <c r="J7" s="63">
        <v>3</v>
      </c>
      <c r="K7" s="63">
        <v>0.4</v>
      </c>
      <c r="L7" s="63">
        <v>1</v>
      </c>
      <c r="M7" s="63">
        <v>0.5</v>
      </c>
      <c r="N7" s="63" t="s">
        <v>308</v>
      </c>
      <c r="O7" s="63">
        <v>0</v>
      </c>
      <c r="P7" s="63">
        <v>0</v>
      </c>
      <c r="Q7" s="63"/>
      <c r="R7" s="63">
        <v>0</v>
      </c>
      <c r="S7" s="63">
        <v>1.5</v>
      </c>
      <c r="T7" s="63">
        <v>2</v>
      </c>
      <c r="U7" s="63">
        <v>20500</v>
      </c>
      <c r="V7" s="63" t="s">
        <v>675</v>
      </c>
      <c r="W7" s="63" t="s">
        <v>676</v>
      </c>
      <c r="X7" s="58">
        <v>60015</v>
      </c>
      <c r="Y7" s="58">
        <v>60016</v>
      </c>
      <c r="Z7" s="63">
        <v>60017</v>
      </c>
      <c r="AA7" s="63">
        <v>0</v>
      </c>
      <c r="AB7" s="63">
        <v>67</v>
      </c>
      <c r="AC7" s="63">
        <v>0</v>
      </c>
      <c r="AD7" s="63">
        <v>138</v>
      </c>
      <c r="AE7" s="63">
        <v>117</v>
      </c>
      <c r="AF7" s="63">
        <v>1</v>
      </c>
    </row>
    <row r="8" spans="1:32">
      <c r="A8" s="63">
        <v>20600</v>
      </c>
      <c r="B8" s="63" t="s">
        <v>677</v>
      </c>
      <c r="C8" s="63">
        <v>20601</v>
      </c>
      <c r="D8" s="63">
        <v>1</v>
      </c>
      <c r="E8" s="63">
        <v>0</v>
      </c>
      <c r="F8" s="63">
        <v>4</v>
      </c>
      <c r="G8" s="63" t="s">
        <v>366</v>
      </c>
      <c r="H8" s="63">
        <v>5</v>
      </c>
      <c r="I8" s="63">
        <v>10</v>
      </c>
      <c r="J8" s="63">
        <v>2</v>
      </c>
      <c r="K8" s="63">
        <v>0.2</v>
      </c>
      <c r="L8" s="63">
        <v>0.3</v>
      </c>
      <c r="M8" s="63">
        <v>0.5</v>
      </c>
      <c r="N8" s="63" t="s">
        <v>330</v>
      </c>
      <c r="O8" s="63">
        <v>2.5</v>
      </c>
      <c r="P8" s="63">
        <v>5</v>
      </c>
      <c r="Q8" s="63"/>
      <c r="R8" s="63">
        <v>1</v>
      </c>
      <c r="S8" s="63">
        <v>1.4</v>
      </c>
      <c r="T8" s="63">
        <v>2</v>
      </c>
      <c r="U8" s="63">
        <v>20600</v>
      </c>
      <c r="V8" s="63" t="s">
        <v>678</v>
      </c>
      <c r="W8" s="63" t="s">
        <v>679</v>
      </c>
      <c r="X8" s="58">
        <v>60018</v>
      </c>
      <c r="Y8" s="58">
        <v>60019</v>
      </c>
      <c r="Z8" s="63">
        <v>60020</v>
      </c>
      <c r="AA8" s="63">
        <v>0</v>
      </c>
      <c r="AB8" s="63">
        <v>0</v>
      </c>
      <c r="AC8" s="63">
        <v>1</v>
      </c>
      <c r="AD8" s="63">
        <v>136</v>
      </c>
      <c r="AE8" s="63">
        <v>142</v>
      </c>
      <c r="AF8" s="63">
        <v>1</v>
      </c>
    </row>
    <row r="9" spans="1:32">
      <c r="A9" s="63">
        <v>20700</v>
      </c>
      <c r="B9" s="63" t="s">
        <v>680</v>
      </c>
      <c r="C9" s="63">
        <v>20701</v>
      </c>
      <c r="D9" s="63">
        <v>1</v>
      </c>
      <c r="E9" s="63">
        <v>2</v>
      </c>
      <c r="F9" s="63">
        <v>4</v>
      </c>
      <c r="G9" s="63" t="s">
        <v>523</v>
      </c>
      <c r="H9" s="63">
        <v>4</v>
      </c>
      <c r="I9" s="63">
        <v>10</v>
      </c>
      <c r="J9" s="63">
        <v>5</v>
      </c>
      <c r="K9" s="63">
        <v>0.3</v>
      </c>
      <c r="L9" s="63">
        <v>2</v>
      </c>
      <c r="M9" s="63">
        <v>3.5</v>
      </c>
      <c r="N9" s="63" t="s">
        <v>330</v>
      </c>
      <c r="O9" s="63">
        <v>0.3</v>
      </c>
      <c r="P9" s="63">
        <v>4</v>
      </c>
      <c r="Q9" s="63"/>
      <c r="R9" s="63">
        <v>0</v>
      </c>
      <c r="S9" s="63">
        <v>1.6</v>
      </c>
      <c r="T9" s="63">
        <v>2</v>
      </c>
      <c r="U9" s="63">
        <v>20700</v>
      </c>
      <c r="V9" s="63" t="s">
        <v>681</v>
      </c>
      <c r="W9" s="63" t="s">
        <v>682</v>
      </c>
      <c r="X9" s="58">
        <v>60021</v>
      </c>
      <c r="Y9" s="58">
        <v>60022</v>
      </c>
      <c r="Z9" s="63">
        <v>60023</v>
      </c>
      <c r="AA9" s="63">
        <v>0</v>
      </c>
      <c r="AB9" s="63">
        <v>0</v>
      </c>
      <c r="AC9" s="63">
        <v>1</v>
      </c>
      <c r="AD9" s="63">
        <v>150</v>
      </c>
      <c r="AE9" s="63">
        <v>145</v>
      </c>
      <c r="AF9" s="63">
        <v>1</v>
      </c>
    </row>
    <row r="10" spans="1:32">
      <c r="A10" s="63">
        <v>20800</v>
      </c>
      <c r="B10" s="63" t="s">
        <v>683</v>
      </c>
      <c r="C10" s="63">
        <v>20801</v>
      </c>
      <c r="D10" s="63">
        <v>0</v>
      </c>
      <c r="E10" s="63">
        <v>2</v>
      </c>
      <c r="F10" s="63">
        <v>5</v>
      </c>
      <c r="G10" s="63" t="s">
        <v>523</v>
      </c>
      <c r="H10" s="63">
        <v>7</v>
      </c>
      <c r="I10" s="63">
        <v>10</v>
      </c>
      <c r="J10" s="63">
        <v>0.2</v>
      </c>
      <c r="K10" s="63">
        <v>0.5</v>
      </c>
      <c r="L10" s="63">
        <v>1</v>
      </c>
      <c r="M10" s="63">
        <v>5</v>
      </c>
      <c r="N10" s="63" t="s">
        <v>684</v>
      </c>
      <c r="O10" s="63">
        <v>0</v>
      </c>
      <c r="P10" s="63">
        <v>0</v>
      </c>
      <c r="Q10" s="63"/>
      <c r="R10" s="63">
        <v>1</v>
      </c>
      <c r="S10" s="63">
        <v>1.8</v>
      </c>
      <c r="T10" s="63">
        <v>2</v>
      </c>
      <c r="U10" s="63">
        <v>20800</v>
      </c>
      <c r="V10" s="63" t="s">
        <v>685</v>
      </c>
      <c r="W10" s="63" t="s">
        <v>686</v>
      </c>
      <c r="X10" s="58">
        <v>60024</v>
      </c>
      <c r="Y10" s="58">
        <v>60025</v>
      </c>
      <c r="Z10" s="63">
        <v>60026</v>
      </c>
      <c r="AA10" s="63">
        <v>0</v>
      </c>
      <c r="AB10" s="63">
        <v>0</v>
      </c>
      <c r="AC10" s="63">
        <v>1</v>
      </c>
      <c r="AD10" s="63">
        <v>177</v>
      </c>
      <c r="AE10" s="63">
        <v>187</v>
      </c>
      <c r="AF10" s="63">
        <v>1</v>
      </c>
    </row>
    <row r="11" spans="1:32">
      <c r="A11" s="63">
        <v>20900</v>
      </c>
      <c r="B11" s="63" t="s">
        <v>687</v>
      </c>
      <c r="C11" s="63">
        <v>20901</v>
      </c>
      <c r="D11" s="63">
        <v>1</v>
      </c>
      <c r="E11" s="63">
        <v>2</v>
      </c>
      <c r="F11" s="63">
        <v>5</v>
      </c>
      <c r="G11" s="63" t="s">
        <v>523</v>
      </c>
      <c r="H11" s="63">
        <v>3</v>
      </c>
      <c r="I11" s="63">
        <v>10</v>
      </c>
      <c r="J11" s="63">
        <v>3</v>
      </c>
      <c r="K11" s="63">
        <v>0.1</v>
      </c>
      <c r="L11" s="63">
        <v>1</v>
      </c>
      <c r="M11" s="63">
        <v>3</v>
      </c>
      <c r="N11" s="63" t="s">
        <v>330</v>
      </c>
      <c r="O11" s="63">
        <v>0</v>
      </c>
      <c r="P11" s="63">
        <v>8</v>
      </c>
      <c r="Q11" s="63"/>
      <c r="R11" s="63">
        <v>2</v>
      </c>
      <c r="S11" s="63">
        <v>2.2000000000000002</v>
      </c>
      <c r="T11" s="63">
        <v>2</v>
      </c>
      <c r="U11" s="63">
        <v>20900</v>
      </c>
      <c r="V11" s="63" t="s">
        <v>688</v>
      </c>
      <c r="W11" s="63" t="s">
        <v>689</v>
      </c>
      <c r="X11" s="58">
        <v>60027</v>
      </c>
      <c r="Y11" s="58">
        <v>60028</v>
      </c>
      <c r="Z11" s="63">
        <v>60029</v>
      </c>
      <c r="AA11" s="63">
        <v>0</v>
      </c>
      <c r="AB11" s="63">
        <v>0</v>
      </c>
      <c r="AC11" s="63">
        <v>1</v>
      </c>
      <c r="AD11" s="63">
        <v>81</v>
      </c>
      <c r="AE11" s="63">
        <v>81</v>
      </c>
      <c r="AF11" s="63">
        <v>1</v>
      </c>
    </row>
    <row r="12" spans="1:32">
      <c r="A12" s="63">
        <v>21000</v>
      </c>
      <c r="B12" s="63" t="s">
        <v>690</v>
      </c>
      <c r="C12" s="63">
        <v>21001</v>
      </c>
      <c r="D12" s="63">
        <v>1</v>
      </c>
      <c r="E12" s="63">
        <v>0</v>
      </c>
      <c r="F12" s="63">
        <v>6</v>
      </c>
      <c r="G12" s="63" t="s">
        <v>691</v>
      </c>
      <c r="H12" s="63">
        <v>4</v>
      </c>
      <c r="I12" s="63">
        <v>10</v>
      </c>
      <c r="J12" s="63">
        <v>3</v>
      </c>
      <c r="K12" s="63">
        <v>0.1</v>
      </c>
      <c r="L12" s="63">
        <v>0.5</v>
      </c>
      <c r="M12" s="63">
        <v>1.5</v>
      </c>
      <c r="N12" s="63" t="s">
        <v>308</v>
      </c>
      <c r="O12" s="63">
        <v>2</v>
      </c>
      <c r="P12" s="63">
        <v>0</v>
      </c>
      <c r="Q12" s="63"/>
      <c r="R12" s="63">
        <v>0</v>
      </c>
      <c r="S12" s="63">
        <v>2.5</v>
      </c>
      <c r="T12" s="63">
        <v>3</v>
      </c>
      <c r="U12" s="63">
        <v>21000</v>
      </c>
      <c r="V12" s="63" t="s">
        <v>692</v>
      </c>
      <c r="W12" s="63" t="s">
        <v>693</v>
      </c>
      <c r="X12" s="58">
        <v>60030</v>
      </c>
      <c r="Y12" s="58">
        <v>60031</v>
      </c>
      <c r="Z12" s="63">
        <v>60032</v>
      </c>
      <c r="AA12" s="63">
        <v>0</v>
      </c>
      <c r="AB12" s="63">
        <v>67</v>
      </c>
      <c r="AC12" s="63">
        <v>0</v>
      </c>
      <c r="AD12" s="63">
        <v>180</v>
      </c>
      <c r="AE12" s="63">
        <v>147</v>
      </c>
      <c r="AF12" s="63">
        <v>1</v>
      </c>
    </row>
    <row r="13" spans="1:32">
      <c r="A13" s="63">
        <v>21100</v>
      </c>
      <c r="B13" s="63" t="s">
        <v>694</v>
      </c>
      <c r="C13" s="63">
        <v>21101</v>
      </c>
      <c r="D13" s="63">
        <v>1</v>
      </c>
      <c r="E13" s="63">
        <v>0</v>
      </c>
      <c r="F13" s="63">
        <v>6</v>
      </c>
      <c r="G13" s="63" t="s">
        <v>523</v>
      </c>
      <c r="H13" s="63">
        <v>8</v>
      </c>
      <c r="I13" s="63">
        <v>10</v>
      </c>
      <c r="J13" s="63">
        <v>0.2</v>
      </c>
      <c r="K13" s="63">
        <v>0.1</v>
      </c>
      <c r="L13" s="63">
        <v>3</v>
      </c>
      <c r="M13" s="63">
        <v>1.5</v>
      </c>
      <c r="N13" s="63" t="s">
        <v>308</v>
      </c>
      <c r="O13" s="63">
        <v>0</v>
      </c>
      <c r="P13" s="63">
        <v>0</v>
      </c>
      <c r="Q13" s="63"/>
      <c r="R13" s="63">
        <v>0</v>
      </c>
      <c r="S13" s="63">
        <v>1.2</v>
      </c>
      <c r="T13" s="63">
        <v>3</v>
      </c>
      <c r="U13" s="63">
        <v>21100</v>
      </c>
      <c r="V13" s="63" t="s">
        <v>695</v>
      </c>
      <c r="W13" s="63" t="s">
        <v>696</v>
      </c>
      <c r="X13" s="58">
        <v>60033</v>
      </c>
      <c r="Y13" s="58">
        <v>60034</v>
      </c>
      <c r="Z13" s="63">
        <v>60035</v>
      </c>
      <c r="AA13" s="63">
        <v>0</v>
      </c>
      <c r="AB13" s="63">
        <v>34</v>
      </c>
      <c r="AC13" s="63">
        <v>0</v>
      </c>
      <c r="AD13" s="63">
        <v>162</v>
      </c>
      <c r="AE13" s="63">
        <v>144</v>
      </c>
      <c r="AF13" s="63">
        <v>1</v>
      </c>
    </row>
    <row r="14" spans="1:32">
      <c r="A14" s="63">
        <v>21200</v>
      </c>
      <c r="B14" s="63" t="s">
        <v>697</v>
      </c>
      <c r="C14" s="63">
        <v>21201</v>
      </c>
      <c r="D14" s="63">
        <v>0</v>
      </c>
      <c r="E14" s="63">
        <v>2</v>
      </c>
      <c r="F14" s="63">
        <v>6</v>
      </c>
      <c r="G14" s="63" t="s">
        <v>523</v>
      </c>
      <c r="H14" s="63">
        <v>10</v>
      </c>
      <c r="I14" s="63">
        <v>10</v>
      </c>
      <c r="J14" s="63">
        <v>2</v>
      </c>
      <c r="K14" s="63">
        <v>0.1</v>
      </c>
      <c r="L14" s="63">
        <v>3</v>
      </c>
      <c r="M14" s="63">
        <v>5</v>
      </c>
      <c r="N14" s="63" t="s">
        <v>698</v>
      </c>
      <c r="O14" s="63">
        <v>0</v>
      </c>
      <c r="P14" s="63">
        <v>0</v>
      </c>
      <c r="Q14" s="63"/>
      <c r="R14" s="63">
        <v>2</v>
      </c>
      <c r="S14" s="63">
        <v>1</v>
      </c>
      <c r="T14" s="63">
        <v>3</v>
      </c>
      <c r="U14" s="63">
        <v>21200</v>
      </c>
      <c r="V14" s="63" t="s">
        <v>699</v>
      </c>
      <c r="W14" s="63" t="s">
        <v>700</v>
      </c>
      <c r="X14" s="58">
        <v>60036</v>
      </c>
      <c r="Y14" s="58">
        <v>60037</v>
      </c>
      <c r="Z14" s="63">
        <v>60038</v>
      </c>
      <c r="AA14" s="63">
        <v>0</v>
      </c>
      <c r="AB14" s="63">
        <v>0</v>
      </c>
      <c r="AC14" s="63">
        <v>1</v>
      </c>
      <c r="AD14" s="63">
        <v>231</v>
      </c>
      <c r="AE14" s="63">
        <v>199</v>
      </c>
      <c r="AF14" s="63">
        <v>1</v>
      </c>
    </row>
    <row r="15" spans="1:32">
      <c r="A15" s="63">
        <v>21300</v>
      </c>
      <c r="B15" s="63" t="s">
        <v>701</v>
      </c>
      <c r="C15" s="63">
        <v>0</v>
      </c>
      <c r="D15" s="63">
        <v>1</v>
      </c>
      <c r="E15" s="63">
        <v>2</v>
      </c>
      <c r="F15" s="63">
        <v>0</v>
      </c>
      <c r="G15" s="63" t="s">
        <v>523</v>
      </c>
      <c r="H15" s="63">
        <v>0</v>
      </c>
      <c r="I15" s="63">
        <v>10</v>
      </c>
      <c r="J15" s="63">
        <v>1</v>
      </c>
      <c r="K15" s="63">
        <v>0.2</v>
      </c>
      <c r="L15" s="63">
        <v>3</v>
      </c>
      <c r="M15" s="63">
        <v>2</v>
      </c>
      <c r="N15" s="63" t="s">
        <v>330</v>
      </c>
      <c r="O15" s="63">
        <v>0</v>
      </c>
      <c r="P15" s="63">
        <v>7</v>
      </c>
      <c r="Q15" s="63"/>
      <c r="R15" s="63">
        <v>1</v>
      </c>
      <c r="S15" s="63">
        <v>1.4</v>
      </c>
      <c r="T15" s="63">
        <v>0</v>
      </c>
      <c r="U15" s="63">
        <v>21300</v>
      </c>
      <c r="V15" s="63" t="s">
        <v>702</v>
      </c>
      <c r="W15" s="63" t="s">
        <v>703</v>
      </c>
      <c r="X15" s="58">
        <v>60039</v>
      </c>
      <c r="Y15" s="58">
        <v>60040</v>
      </c>
      <c r="Z15" s="63">
        <v>60041</v>
      </c>
      <c r="AA15" s="63">
        <v>0</v>
      </c>
      <c r="AB15" s="63">
        <v>0</v>
      </c>
      <c r="AC15" s="63">
        <v>1</v>
      </c>
      <c r="AD15" s="63">
        <v>0</v>
      </c>
      <c r="AE15" s="63">
        <v>0</v>
      </c>
      <c r="AF15" s="63">
        <v>1</v>
      </c>
    </row>
    <row r="16" spans="1:32">
      <c r="A16" s="63">
        <v>49999</v>
      </c>
      <c r="B16" s="63" t="s">
        <v>704</v>
      </c>
      <c r="C16" s="63">
        <v>0</v>
      </c>
      <c r="D16" s="63">
        <v>0</v>
      </c>
      <c r="E16" s="63">
        <v>2</v>
      </c>
      <c r="F16" s="63">
        <v>0</v>
      </c>
      <c r="G16" s="63" t="s">
        <v>523</v>
      </c>
      <c r="H16" s="63">
        <v>0</v>
      </c>
      <c r="I16" s="63">
        <v>10</v>
      </c>
      <c r="J16" s="63">
        <v>4</v>
      </c>
      <c r="K16" s="63">
        <v>0</v>
      </c>
      <c r="L16" s="63">
        <v>0</v>
      </c>
      <c r="M16" s="63">
        <v>0</v>
      </c>
      <c r="N16" s="58"/>
      <c r="O16" s="63">
        <v>0</v>
      </c>
      <c r="P16" s="63">
        <v>0</v>
      </c>
      <c r="Q16" s="58"/>
      <c r="R16" s="63">
        <v>2</v>
      </c>
      <c r="S16" s="63">
        <v>0</v>
      </c>
      <c r="T16" s="63">
        <v>0</v>
      </c>
      <c r="U16" s="63">
        <v>0</v>
      </c>
      <c r="V16" s="63" t="s">
        <v>705</v>
      </c>
      <c r="W16" s="63" t="s">
        <v>706</v>
      </c>
      <c r="X16" s="58">
        <v>0</v>
      </c>
      <c r="Y16" s="58">
        <v>0</v>
      </c>
      <c r="Z16" s="63">
        <v>0</v>
      </c>
      <c r="AA16" s="63">
        <v>0</v>
      </c>
      <c r="AB16" s="63">
        <v>0</v>
      </c>
      <c r="AC16" s="63">
        <v>0</v>
      </c>
      <c r="AD16" s="63">
        <v>0</v>
      </c>
      <c r="AE16" s="63">
        <v>0</v>
      </c>
      <c r="AF16" s="63">
        <v>1</v>
      </c>
    </row>
  </sheetData>
  <phoneticPr fontId="3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L70"/>
  <sheetViews>
    <sheetView workbookViewId="0">
      <selection activeCell="D1" sqref="D1"/>
    </sheetView>
  </sheetViews>
  <sheetFormatPr defaultRowHeight="16.5"/>
  <cols>
    <col min="1" max="1" width="6.5" style="44" bestFit="1" customWidth="1"/>
    <col min="2" max="2" width="13.75" style="44" bestFit="1" customWidth="1"/>
    <col min="3" max="3" width="5.375" style="44" bestFit="1" customWidth="1"/>
    <col min="4" max="4" width="16.375" style="44" customWidth="1"/>
    <col min="5" max="5" width="13.125" style="44" customWidth="1"/>
    <col min="6" max="6" width="12.875" style="44" bestFit="1" customWidth="1"/>
    <col min="7" max="7" width="14.25" style="44" bestFit="1" customWidth="1"/>
    <col min="8" max="8" width="12.875" style="44" bestFit="1" customWidth="1"/>
    <col min="9" max="9" width="12.25" style="44" bestFit="1" customWidth="1"/>
    <col min="10" max="10" width="15.25" style="44" bestFit="1" customWidth="1"/>
    <col min="11" max="11" width="12.75" style="44" bestFit="1" customWidth="1"/>
    <col min="12" max="16384" width="9" style="44"/>
  </cols>
  <sheetData>
    <row r="1" spans="1:12">
      <c r="A1" s="34" t="s">
        <v>492</v>
      </c>
      <c r="B1" s="34" t="s">
        <v>643</v>
      </c>
      <c r="C1" s="34" t="s">
        <v>153</v>
      </c>
      <c r="D1" s="34" t="s">
        <v>1162</v>
      </c>
      <c r="E1" s="34" t="s">
        <v>494</v>
      </c>
      <c r="F1" s="34" t="s">
        <v>633</v>
      </c>
      <c r="G1" s="34" t="s">
        <v>707</v>
      </c>
      <c r="H1" s="34" t="s">
        <v>708</v>
      </c>
      <c r="I1" s="34" t="s">
        <v>709</v>
      </c>
      <c r="J1" s="34" t="s">
        <v>710</v>
      </c>
      <c r="K1" s="34" t="s">
        <v>711</v>
      </c>
      <c r="L1" s="38" t="s">
        <v>262</v>
      </c>
    </row>
    <row r="2" spans="1:12">
      <c r="A2" s="36">
        <v>20001</v>
      </c>
      <c r="B2" s="36">
        <v>20000</v>
      </c>
      <c r="C2" s="36">
        <v>1</v>
      </c>
      <c r="D2" s="36" t="s">
        <v>712</v>
      </c>
      <c r="E2" s="36">
        <v>100</v>
      </c>
      <c r="F2" s="36">
        <v>0</v>
      </c>
      <c r="G2" s="36">
        <v>0</v>
      </c>
      <c r="H2" s="36">
        <v>0</v>
      </c>
      <c r="I2" s="36">
        <v>0</v>
      </c>
      <c r="J2" s="36">
        <v>1</v>
      </c>
      <c r="K2" s="36">
        <v>0</v>
      </c>
      <c r="L2" s="36" t="s">
        <v>309</v>
      </c>
    </row>
    <row r="3" spans="1:12">
      <c r="A3" s="36">
        <v>20101</v>
      </c>
      <c r="B3" s="36">
        <v>20100</v>
      </c>
      <c r="C3" s="36">
        <v>1</v>
      </c>
      <c r="D3" s="36" t="s">
        <v>662</v>
      </c>
      <c r="E3" s="46">
        <v>44</v>
      </c>
      <c r="F3" s="46">
        <v>7</v>
      </c>
      <c r="G3" s="36">
        <v>2</v>
      </c>
      <c r="H3" s="36">
        <v>30</v>
      </c>
      <c r="I3" s="36">
        <v>1</v>
      </c>
      <c r="J3" s="36">
        <v>1</v>
      </c>
      <c r="K3" s="36">
        <v>0</v>
      </c>
      <c r="L3" s="36" t="s">
        <v>309</v>
      </c>
    </row>
    <row r="4" spans="1:12">
      <c r="A4" s="36">
        <v>20102</v>
      </c>
      <c r="B4" s="36">
        <v>20100</v>
      </c>
      <c r="C4" s="36">
        <v>2</v>
      </c>
      <c r="D4" s="36" t="s">
        <v>662</v>
      </c>
      <c r="E4" s="46">
        <v>60</v>
      </c>
      <c r="F4" s="46">
        <v>10</v>
      </c>
      <c r="G4" s="36">
        <v>4</v>
      </c>
      <c r="H4" s="36">
        <v>30</v>
      </c>
      <c r="I4" s="36">
        <v>2</v>
      </c>
      <c r="J4" s="36">
        <v>1</v>
      </c>
      <c r="K4" s="36">
        <v>0</v>
      </c>
      <c r="L4" s="36" t="s">
        <v>309</v>
      </c>
    </row>
    <row r="5" spans="1:12">
      <c r="A5" s="36">
        <v>20103</v>
      </c>
      <c r="B5" s="36">
        <v>20100</v>
      </c>
      <c r="C5" s="36">
        <v>3</v>
      </c>
      <c r="D5" s="36" t="s">
        <v>662</v>
      </c>
      <c r="E5" s="46">
        <v>76</v>
      </c>
      <c r="F5" s="46">
        <v>14</v>
      </c>
      <c r="G5" s="36">
        <v>8</v>
      </c>
      <c r="H5" s="36">
        <v>30</v>
      </c>
      <c r="I5" s="36">
        <v>3</v>
      </c>
      <c r="J5" s="36">
        <v>1</v>
      </c>
      <c r="K5" s="36">
        <v>0</v>
      </c>
      <c r="L5" s="36" t="s">
        <v>309</v>
      </c>
    </row>
    <row r="6" spans="1:12">
      <c r="A6" s="36">
        <v>20104</v>
      </c>
      <c r="B6" s="36">
        <v>20100</v>
      </c>
      <c r="C6" s="36">
        <v>4</v>
      </c>
      <c r="D6" s="36" t="s">
        <v>662</v>
      </c>
      <c r="E6" s="46">
        <v>97</v>
      </c>
      <c r="F6" s="46">
        <v>22</v>
      </c>
      <c r="G6" s="36">
        <v>10</v>
      </c>
      <c r="H6" s="36">
        <v>30</v>
      </c>
      <c r="I6" s="36">
        <v>3</v>
      </c>
      <c r="J6" s="36">
        <v>2</v>
      </c>
      <c r="K6" s="36">
        <v>0</v>
      </c>
      <c r="L6" s="36" t="s">
        <v>309</v>
      </c>
    </row>
    <row r="7" spans="1:12">
      <c r="A7" s="36">
        <v>20105</v>
      </c>
      <c r="B7" s="36">
        <v>20100</v>
      </c>
      <c r="C7" s="36">
        <v>5</v>
      </c>
      <c r="D7" s="36" t="s">
        <v>662</v>
      </c>
      <c r="E7" s="46">
        <v>117</v>
      </c>
      <c r="F7" s="46">
        <v>30</v>
      </c>
      <c r="G7" s="36">
        <v>15</v>
      </c>
      <c r="H7" s="36">
        <v>30</v>
      </c>
      <c r="I7" s="36">
        <v>4</v>
      </c>
      <c r="J7" s="36">
        <v>2</v>
      </c>
      <c r="K7" s="36">
        <v>0</v>
      </c>
      <c r="L7" s="36" t="s">
        <v>309</v>
      </c>
    </row>
    <row r="8" spans="1:12">
      <c r="A8" s="36">
        <v>20106</v>
      </c>
      <c r="B8" s="36">
        <v>20100</v>
      </c>
      <c r="C8" s="36">
        <v>6</v>
      </c>
      <c r="D8" s="36" t="s">
        <v>662</v>
      </c>
      <c r="E8" s="46">
        <v>140</v>
      </c>
      <c r="F8" s="46">
        <v>40</v>
      </c>
      <c r="G8" s="36">
        <v>20</v>
      </c>
      <c r="H8" s="36">
        <v>30</v>
      </c>
      <c r="I8" s="36">
        <v>5</v>
      </c>
      <c r="J8" s="36">
        <v>3</v>
      </c>
      <c r="K8" s="36">
        <v>0</v>
      </c>
      <c r="L8" s="36" t="s">
        <v>309</v>
      </c>
    </row>
    <row r="9" spans="1:12">
      <c r="A9" s="36">
        <v>20107</v>
      </c>
      <c r="B9" s="36">
        <v>20100</v>
      </c>
      <c r="C9" s="36">
        <v>7</v>
      </c>
      <c r="D9" s="36" t="s">
        <v>662</v>
      </c>
      <c r="E9" s="46">
        <v>162</v>
      </c>
      <c r="F9" s="46">
        <v>50</v>
      </c>
      <c r="G9" s="36">
        <v>30</v>
      </c>
      <c r="H9" s="36">
        <v>30</v>
      </c>
      <c r="I9" s="36">
        <v>6</v>
      </c>
      <c r="J9" s="36">
        <v>3</v>
      </c>
      <c r="K9" s="36">
        <v>0</v>
      </c>
      <c r="L9" s="36" t="s">
        <v>309</v>
      </c>
    </row>
    <row r="10" spans="1:12">
      <c r="A10" s="36">
        <v>20108</v>
      </c>
      <c r="B10" s="36">
        <v>20100</v>
      </c>
      <c r="C10" s="36">
        <v>8</v>
      </c>
      <c r="D10" s="36" t="s">
        <v>662</v>
      </c>
      <c r="E10" s="46">
        <v>195</v>
      </c>
      <c r="F10" s="46">
        <v>59</v>
      </c>
      <c r="G10" s="36">
        <v>40</v>
      </c>
      <c r="H10" s="36">
        <v>30</v>
      </c>
      <c r="I10" s="36">
        <v>6</v>
      </c>
      <c r="J10" s="36">
        <v>4</v>
      </c>
      <c r="K10" s="36">
        <v>0</v>
      </c>
      <c r="L10" s="36" t="s">
        <v>309</v>
      </c>
    </row>
    <row r="11" spans="1:12">
      <c r="A11" s="36">
        <v>20109</v>
      </c>
      <c r="B11" s="36">
        <v>20100</v>
      </c>
      <c r="C11" s="36">
        <v>9</v>
      </c>
      <c r="D11" s="36" t="s">
        <v>662</v>
      </c>
      <c r="E11" s="46">
        <v>228</v>
      </c>
      <c r="F11" s="46">
        <v>69</v>
      </c>
      <c r="G11" s="36">
        <v>50</v>
      </c>
      <c r="H11" s="36">
        <v>30</v>
      </c>
      <c r="I11" s="36">
        <v>7</v>
      </c>
      <c r="J11" s="36">
        <v>4</v>
      </c>
      <c r="K11" s="36">
        <v>0</v>
      </c>
      <c r="L11" s="36" t="s">
        <v>309</v>
      </c>
    </row>
    <row r="12" spans="1:12">
      <c r="A12" s="36">
        <v>20110</v>
      </c>
      <c r="B12" s="36">
        <v>20100</v>
      </c>
      <c r="C12" s="36">
        <v>10</v>
      </c>
      <c r="D12" s="36" t="s">
        <v>662</v>
      </c>
      <c r="E12" s="46">
        <v>260</v>
      </c>
      <c r="F12" s="46">
        <v>81</v>
      </c>
      <c r="G12" s="36">
        <v>70</v>
      </c>
      <c r="H12" s="36">
        <v>30</v>
      </c>
      <c r="I12" s="36">
        <v>8</v>
      </c>
      <c r="J12" s="36">
        <v>4</v>
      </c>
      <c r="K12" s="36">
        <v>0</v>
      </c>
      <c r="L12" s="36" t="s">
        <v>309</v>
      </c>
    </row>
    <row r="13" spans="1:12">
      <c r="A13" s="36">
        <v>20201</v>
      </c>
      <c r="B13" s="36">
        <v>20200</v>
      </c>
      <c r="C13" s="36">
        <v>1</v>
      </c>
      <c r="D13" s="36" t="s">
        <v>665</v>
      </c>
      <c r="E13" s="46">
        <v>26</v>
      </c>
      <c r="F13" s="46">
        <v>8</v>
      </c>
      <c r="G13" s="36">
        <v>3</v>
      </c>
      <c r="H13" s="36">
        <v>40</v>
      </c>
      <c r="I13" s="36">
        <v>2</v>
      </c>
      <c r="J13" s="36">
        <v>1</v>
      </c>
      <c r="K13" s="36">
        <v>0</v>
      </c>
      <c r="L13" s="36" t="s">
        <v>309</v>
      </c>
    </row>
    <row r="14" spans="1:12">
      <c r="A14" s="36">
        <v>20202</v>
      </c>
      <c r="B14" s="36">
        <v>20200</v>
      </c>
      <c r="C14" s="36">
        <v>2</v>
      </c>
      <c r="D14" s="36" t="s">
        <v>665</v>
      </c>
      <c r="E14" s="46">
        <v>33</v>
      </c>
      <c r="F14" s="46">
        <v>11</v>
      </c>
      <c r="G14" s="36">
        <v>5</v>
      </c>
      <c r="H14" s="36">
        <v>40</v>
      </c>
      <c r="I14" s="36">
        <v>3</v>
      </c>
      <c r="J14" s="36">
        <v>1</v>
      </c>
      <c r="K14" s="36">
        <v>0</v>
      </c>
      <c r="L14" s="36" t="s">
        <v>309</v>
      </c>
    </row>
    <row r="15" spans="1:12">
      <c r="A15" s="36">
        <v>20203</v>
      </c>
      <c r="B15" s="36">
        <v>20200</v>
      </c>
      <c r="C15" s="36">
        <v>3</v>
      </c>
      <c r="D15" s="36" t="s">
        <v>665</v>
      </c>
      <c r="E15" s="46">
        <v>41</v>
      </c>
      <c r="F15" s="46">
        <v>13</v>
      </c>
      <c r="G15" s="36">
        <v>9</v>
      </c>
      <c r="H15" s="36">
        <v>40</v>
      </c>
      <c r="I15" s="36">
        <v>4</v>
      </c>
      <c r="J15" s="36">
        <v>2</v>
      </c>
      <c r="K15" s="36">
        <v>0</v>
      </c>
      <c r="L15" s="36" t="s">
        <v>309</v>
      </c>
    </row>
    <row r="16" spans="1:12">
      <c r="A16" s="36">
        <v>20204</v>
      </c>
      <c r="B16" s="36">
        <v>20200</v>
      </c>
      <c r="C16" s="36">
        <v>4</v>
      </c>
      <c r="D16" s="36" t="s">
        <v>665</v>
      </c>
      <c r="E16" s="46">
        <v>48</v>
      </c>
      <c r="F16" s="46">
        <v>21</v>
      </c>
      <c r="G16" s="36">
        <v>12</v>
      </c>
      <c r="H16" s="36">
        <v>40</v>
      </c>
      <c r="I16" s="36">
        <v>4</v>
      </c>
      <c r="J16" s="36">
        <v>2</v>
      </c>
      <c r="K16" s="36">
        <v>0</v>
      </c>
      <c r="L16" s="36" t="s">
        <v>309</v>
      </c>
    </row>
    <row r="17" spans="1:12">
      <c r="A17" s="36">
        <v>20205</v>
      </c>
      <c r="B17" s="36">
        <v>20200</v>
      </c>
      <c r="C17" s="36">
        <v>5</v>
      </c>
      <c r="D17" s="36" t="s">
        <v>665</v>
      </c>
      <c r="E17" s="46">
        <v>57</v>
      </c>
      <c r="F17" s="46">
        <v>26</v>
      </c>
      <c r="G17" s="36">
        <v>16</v>
      </c>
      <c r="H17" s="36">
        <v>40</v>
      </c>
      <c r="I17" s="36">
        <v>5</v>
      </c>
      <c r="J17" s="36">
        <v>3</v>
      </c>
      <c r="K17" s="36">
        <v>0</v>
      </c>
      <c r="L17" s="36" t="s">
        <v>309</v>
      </c>
    </row>
    <row r="18" spans="1:12">
      <c r="A18" s="36">
        <v>20206</v>
      </c>
      <c r="B18" s="36">
        <v>20200</v>
      </c>
      <c r="C18" s="36">
        <v>6</v>
      </c>
      <c r="D18" s="36" t="s">
        <v>665</v>
      </c>
      <c r="E18" s="46">
        <v>69</v>
      </c>
      <c r="F18" s="46">
        <v>35</v>
      </c>
      <c r="G18" s="36">
        <v>21</v>
      </c>
      <c r="H18" s="36">
        <v>40</v>
      </c>
      <c r="I18" s="36">
        <v>5</v>
      </c>
      <c r="J18" s="36">
        <v>3</v>
      </c>
      <c r="K18" s="36">
        <v>0</v>
      </c>
      <c r="L18" s="36" t="s">
        <v>309</v>
      </c>
    </row>
    <row r="19" spans="1:12">
      <c r="A19" s="36">
        <v>20207</v>
      </c>
      <c r="B19" s="36">
        <v>20200</v>
      </c>
      <c r="C19" s="36">
        <v>7</v>
      </c>
      <c r="D19" s="36" t="s">
        <v>665</v>
      </c>
      <c r="E19" s="46">
        <v>82</v>
      </c>
      <c r="F19" s="46">
        <v>44</v>
      </c>
      <c r="G19" s="36">
        <v>33</v>
      </c>
      <c r="H19" s="36">
        <v>40</v>
      </c>
      <c r="I19" s="36">
        <v>6</v>
      </c>
      <c r="J19" s="36">
        <v>4</v>
      </c>
      <c r="K19" s="36">
        <v>0</v>
      </c>
      <c r="L19" s="36" t="s">
        <v>309</v>
      </c>
    </row>
    <row r="20" spans="1:12">
      <c r="A20" s="36">
        <v>20208</v>
      </c>
      <c r="B20" s="36">
        <v>20200</v>
      </c>
      <c r="C20" s="36">
        <v>8</v>
      </c>
      <c r="D20" s="36" t="s">
        <v>665</v>
      </c>
      <c r="E20" s="46">
        <v>94</v>
      </c>
      <c r="F20" s="46">
        <v>54</v>
      </c>
      <c r="G20" s="36">
        <v>45</v>
      </c>
      <c r="H20" s="36">
        <v>40</v>
      </c>
      <c r="I20" s="36">
        <v>7</v>
      </c>
      <c r="J20" s="36">
        <v>4</v>
      </c>
      <c r="K20" s="36">
        <v>0</v>
      </c>
      <c r="L20" s="36" t="s">
        <v>309</v>
      </c>
    </row>
    <row r="21" spans="1:12">
      <c r="A21" s="36">
        <v>20209</v>
      </c>
      <c r="B21" s="36">
        <v>20200</v>
      </c>
      <c r="C21" s="36">
        <v>9</v>
      </c>
      <c r="D21" s="36" t="s">
        <v>665</v>
      </c>
      <c r="E21" s="46">
        <v>105</v>
      </c>
      <c r="F21" s="46">
        <v>63</v>
      </c>
      <c r="G21" s="36">
        <v>58</v>
      </c>
      <c r="H21" s="36">
        <v>40</v>
      </c>
      <c r="I21" s="36">
        <v>8</v>
      </c>
      <c r="J21" s="36">
        <v>5</v>
      </c>
      <c r="K21" s="36">
        <v>0</v>
      </c>
      <c r="L21" s="36" t="s">
        <v>309</v>
      </c>
    </row>
    <row r="22" spans="1:12">
      <c r="A22" s="36">
        <v>20210</v>
      </c>
      <c r="B22" s="36">
        <v>20200</v>
      </c>
      <c r="C22" s="36">
        <v>10</v>
      </c>
      <c r="D22" s="36" t="s">
        <v>665</v>
      </c>
      <c r="E22" s="46">
        <v>120</v>
      </c>
      <c r="F22" s="46">
        <v>73</v>
      </c>
      <c r="G22" s="36">
        <v>80</v>
      </c>
      <c r="H22" s="36">
        <v>40</v>
      </c>
      <c r="I22" s="36">
        <v>9</v>
      </c>
      <c r="J22" s="36">
        <v>5</v>
      </c>
      <c r="K22" s="36">
        <v>0</v>
      </c>
      <c r="L22" s="36" t="s">
        <v>309</v>
      </c>
    </row>
    <row r="23" spans="1:12">
      <c r="A23" s="36">
        <v>20301</v>
      </c>
      <c r="B23" s="36">
        <v>20300</v>
      </c>
      <c r="C23" s="36">
        <v>1</v>
      </c>
      <c r="D23" s="36" t="s">
        <v>668</v>
      </c>
      <c r="E23" s="46">
        <v>330</v>
      </c>
      <c r="F23" s="46">
        <v>19</v>
      </c>
      <c r="G23" s="36">
        <v>20</v>
      </c>
      <c r="H23" s="36">
        <v>90</v>
      </c>
      <c r="I23" s="36">
        <v>4</v>
      </c>
      <c r="J23" s="36">
        <v>1</v>
      </c>
      <c r="K23" s="36">
        <v>0</v>
      </c>
      <c r="L23" s="36" t="s">
        <v>309</v>
      </c>
    </row>
    <row r="24" spans="1:12">
      <c r="A24" s="36">
        <v>20302</v>
      </c>
      <c r="B24" s="36">
        <v>20300</v>
      </c>
      <c r="C24" s="36">
        <v>2</v>
      </c>
      <c r="D24" s="36" t="s">
        <v>668</v>
      </c>
      <c r="E24" s="46">
        <v>488</v>
      </c>
      <c r="F24" s="46">
        <v>33</v>
      </c>
      <c r="G24" s="36">
        <v>33</v>
      </c>
      <c r="H24" s="36">
        <v>90</v>
      </c>
      <c r="I24" s="36">
        <v>4</v>
      </c>
      <c r="J24" s="36">
        <v>1</v>
      </c>
      <c r="K24" s="36">
        <v>0</v>
      </c>
      <c r="L24" s="36" t="s">
        <v>309</v>
      </c>
    </row>
    <row r="25" spans="1:12">
      <c r="A25" s="36">
        <v>20303</v>
      </c>
      <c r="B25" s="36">
        <v>20300</v>
      </c>
      <c r="C25" s="36">
        <v>3</v>
      </c>
      <c r="D25" s="36" t="s">
        <v>668</v>
      </c>
      <c r="E25" s="46">
        <v>718</v>
      </c>
      <c r="F25" s="46">
        <v>46</v>
      </c>
      <c r="G25" s="36">
        <v>59</v>
      </c>
      <c r="H25" s="36">
        <v>90</v>
      </c>
      <c r="I25" s="36">
        <v>5</v>
      </c>
      <c r="J25" s="36">
        <v>1</v>
      </c>
      <c r="K25" s="36">
        <v>0</v>
      </c>
      <c r="L25" s="36" t="s">
        <v>309</v>
      </c>
    </row>
    <row r="26" spans="1:12">
      <c r="A26" s="36">
        <v>20304</v>
      </c>
      <c r="B26" s="36">
        <v>20300</v>
      </c>
      <c r="C26" s="36">
        <v>4</v>
      </c>
      <c r="D26" s="36" t="s">
        <v>668</v>
      </c>
      <c r="E26" s="46">
        <v>983</v>
      </c>
      <c r="F26" s="46">
        <v>62</v>
      </c>
      <c r="G26" s="36">
        <v>78</v>
      </c>
      <c r="H26" s="36">
        <v>90</v>
      </c>
      <c r="I26" s="36">
        <v>5</v>
      </c>
      <c r="J26" s="36">
        <v>1</v>
      </c>
      <c r="K26" s="36">
        <v>0</v>
      </c>
      <c r="L26" s="36" t="s">
        <v>309</v>
      </c>
    </row>
    <row r="27" spans="1:12">
      <c r="A27" s="36">
        <v>20305</v>
      </c>
      <c r="B27" s="36">
        <v>20300</v>
      </c>
      <c r="C27" s="36">
        <v>5</v>
      </c>
      <c r="D27" s="36" t="s">
        <v>668</v>
      </c>
      <c r="E27" s="46">
        <v>1305</v>
      </c>
      <c r="F27" s="46">
        <v>78</v>
      </c>
      <c r="G27" s="36">
        <v>104</v>
      </c>
      <c r="H27" s="36">
        <v>120</v>
      </c>
      <c r="I27" s="36">
        <v>6</v>
      </c>
      <c r="J27" s="36">
        <v>2</v>
      </c>
      <c r="K27" s="36">
        <v>0</v>
      </c>
      <c r="L27" s="36" t="s">
        <v>309</v>
      </c>
    </row>
    <row r="28" spans="1:12">
      <c r="A28" s="36">
        <v>20306</v>
      </c>
      <c r="B28" s="36">
        <v>20300</v>
      </c>
      <c r="C28" s="36">
        <v>6</v>
      </c>
      <c r="D28" s="36" t="s">
        <v>668</v>
      </c>
      <c r="E28" s="46">
        <v>1672</v>
      </c>
      <c r="F28" s="46">
        <v>99</v>
      </c>
      <c r="G28" s="36">
        <v>137</v>
      </c>
      <c r="H28" s="36">
        <v>120</v>
      </c>
      <c r="I28" s="36">
        <v>7</v>
      </c>
      <c r="J28" s="36">
        <v>2</v>
      </c>
      <c r="K28" s="36">
        <v>0</v>
      </c>
      <c r="L28" s="36" t="s">
        <v>309</v>
      </c>
    </row>
    <row r="29" spans="1:12">
      <c r="A29" s="36">
        <v>20307</v>
      </c>
      <c r="B29" s="36">
        <v>20300</v>
      </c>
      <c r="C29" s="36">
        <v>7</v>
      </c>
      <c r="D29" s="36" t="s">
        <v>668</v>
      </c>
      <c r="E29" s="46">
        <v>2204</v>
      </c>
      <c r="F29" s="46">
        <v>125</v>
      </c>
      <c r="G29" s="36">
        <v>215</v>
      </c>
      <c r="H29" s="36">
        <v>120</v>
      </c>
      <c r="I29" s="36">
        <v>8</v>
      </c>
      <c r="J29" s="36">
        <v>3</v>
      </c>
      <c r="K29" s="36">
        <v>0</v>
      </c>
      <c r="L29" s="36" t="s">
        <v>309</v>
      </c>
    </row>
    <row r="30" spans="1:12">
      <c r="A30" s="36">
        <v>20308</v>
      </c>
      <c r="B30" s="36">
        <v>20300</v>
      </c>
      <c r="C30" s="36">
        <v>8</v>
      </c>
      <c r="D30" s="36" t="s">
        <v>668</v>
      </c>
      <c r="E30" s="46">
        <v>2808</v>
      </c>
      <c r="F30" s="46">
        <v>147</v>
      </c>
      <c r="G30" s="36">
        <v>293</v>
      </c>
      <c r="H30" s="36">
        <v>180</v>
      </c>
      <c r="I30" s="36">
        <v>9</v>
      </c>
      <c r="J30" s="36">
        <v>3</v>
      </c>
      <c r="K30" s="36">
        <v>0</v>
      </c>
      <c r="L30" s="36" t="s">
        <v>309</v>
      </c>
    </row>
    <row r="31" spans="1:12">
      <c r="A31" s="36">
        <v>20401</v>
      </c>
      <c r="B31" s="36">
        <v>20400</v>
      </c>
      <c r="C31" s="36">
        <v>1</v>
      </c>
      <c r="D31" s="36" t="s">
        <v>671</v>
      </c>
      <c r="E31" s="46">
        <v>37</v>
      </c>
      <c r="F31" s="46">
        <v>7</v>
      </c>
      <c r="G31" s="36">
        <v>6</v>
      </c>
      <c r="H31" s="36">
        <v>45</v>
      </c>
      <c r="I31" s="36">
        <v>4</v>
      </c>
      <c r="J31" s="36">
        <v>1</v>
      </c>
      <c r="K31" s="36">
        <v>0</v>
      </c>
      <c r="L31" s="36" t="s">
        <v>309</v>
      </c>
    </row>
    <row r="32" spans="1:12">
      <c r="A32" s="36">
        <v>20402</v>
      </c>
      <c r="B32" s="36">
        <v>20400</v>
      </c>
      <c r="C32" s="36">
        <v>2</v>
      </c>
      <c r="D32" s="36" t="s">
        <v>671</v>
      </c>
      <c r="E32" s="46">
        <v>45</v>
      </c>
      <c r="F32" s="46">
        <v>11</v>
      </c>
      <c r="G32" s="36">
        <v>11</v>
      </c>
      <c r="H32" s="36">
        <v>45</v>
      </c>
      <c r="I32" s="36">
        <v>5</v>
      </c>
      <c r="J32" s="36">
        <v>1</v>
      </c>
      <c r="K32" s="36">
        <v>0</v>
      </c>
      <c r="L32" s="36" t="s">
        <v>309</v>
      </c>
    </row>
    <row r="33" spans="1:12">
      <c r="A33" s="36">
        <v>20403</v>
      </c>
      <c r="B33" s="36">
        <v>20400</v>
      </c>
      <c r="C33" s="36">
        <v>3</v>
      </c>
      <c r="D33" s="36" t="s">
        <v>671</v>
      </c>
      <c r="E33" s="46">
        <v>59</v>
      </c>
      <c r="F33" s="46">
        <v>17</v>
      </c>
      <c r="G33" s="36">
        <v>22</v>
      </c>
      <c r="H33" s="36">
        <v>45</v>
      </c>
      <c r="I33" s="36">
        <v>5</v>
      </c>
      <c r="J33" s="36">
        <v>1</v>
      </c>
      <c r="K33" s="36">
        <v>0</v>
      </c>
      <c r="L33" s="36" t="s">
        <v>309</v>
      </c>
    </row>
    <row r="34" spans="1:12">
      <c r="A34" s="36">
        <v>20404</v>
      </c>
      <c r="B34" s="36">
        <v>20400</v>
      </c>
      <c r="C34" s="36">
        <v>4</v>
      </c>
      <c r="D34" s="36" t="s">
        <v>671</v>
      </c>
      <c r="E34" s="46">
        <v>75</v>
      </c>
      <c r="F34" s="46">
        <v>23</v>
      </c>
      <c r="G34" s="36">
        <v>28</v>
      </c>
      <c r="H34" s="36">
        <v>45</v>
      </c>
      <c r="I34" s="36">
        <v>6</v>
      </c>
      <c r="J34" s="36">
        <v>2</v>
      </c>
      <c r="K34" s="36">
        <v>0</v>
      </c>
      <c r="L34" s="36" t="s">
        <v>309</v>
      </c>
    </row>
    <row r="35" spans="1:12">
      <c r="A35" s="36">
        <v>20405</v>
      </c>
      <c r="B35" s="36">
        <v>20400</v>
      </c>
      <c r="C35" s="36">
        <v>5</v>
      </c>
      <c r="D35" s="36" t="s">
        <v>671</v>
      </c>
      <c r="E35" s="46">
        <v>90</v>
      </c>
      <c r="F35" s="46">
        <v>30</v>
      </c>
      <c r="G35" s="36">
        <v>42</v>
      </c>
      <c r="H35" s="36">
        <v>45</v>
      </c>
      <c r="I35" s="36">
        <v>6</v>
      </c>
      <c r="J35" s="36">
        <v>2</v>
      </c>
      <c r="K35" s="36">
        <v>0</v>
      </c>
      <c r="L35" s="36" t="s">
        <v>309</v>
      </c>
    </row>
    <row r="36" spans="1:12">
      <c r="A36" s="36">
        <v>20406</v>
      </c>
      <c r="B36" s="36">
        <v>20400</v>
      </c>
      <c r="C36" s="36">
        <v>6</v>
      </c>
      <c r="D36" s="36" t="s">
        <v>671</v>
      </c>
      <c r="E36" s="46">
        <v>109</v>
      </c>
      <c r="F36" s="46">
        <v>37</v>
      </c>
      <c r="G36" s="36">
        <v>56</v>
      </c>
      <c r="H36" s="36">
        <v>45</v>
      </c>
      <c r="I36" s="36">
        <v>7</v>
      </c>
      <c r="J36" s="36">
        <v>3</v>
      </c>
      <c r="K36" s="36">
        <v>0</v>
      </c>
      <c r="L36" s="36" t="s">
        <v>309</v>
      </c>
    </row>
    <row r="37" spans="1:12">
      <c r="A37" s="36">
        <v>20407</v>
      </c>
      <c r="B37" s="36">
        <v>20400</v>
      </c>
      <c r="C37" s="36">
        <v>7</v>
      </c>
      <c r="D37" s="36" t="s">
        <v>671</v>
      </c>
      <c r="E37" s="46">
        <v>128</v>
      </c>
      <c r="F37" s="46">
        <v>47</v>
      </c>
      <c r="G37" s="36">
        <v>84</v>
      </c>
      <c r="H37" s="36">
        <v>45</v>
      </c>
      <c r="I37" s="36">
        <v>7</v>
      </c>
      <c r="J37" s="36">
        <v>3</v>
      </c>
      <c r="K37" s="36">
        <v>0</v>
      </c>
      <c r="L37" s="36" t="s">
        <v>309</v>
      </c>
    </row>
    <row r="38" spans="1:12">
      <c r="A38" s="36">
        <v>20408</v>
      </c>
      <c r="B38" s="36">
        <v>20400</v>
      </c>
      <c r="C38" s="36">
        <v>8</v>
      </c>
      <c r="D38" s="36" t="s">
        <v>671</v>
      </c>
      <c r="E38" s="46">
        <v>153</v>
      </c>
      <c r="F38" s="46">
        <v>62</v>
      </c>
      <c r="G38" s="36">
        <v>112</v>
      </c>
      <c r="H38" s="36">
        <v>60</v>
      </c>
      <c r="I38" s="36">
        <v>8</v>
      </c>
      <c r="J38" s="36">
        <v>4</v>
      </c>
      <c r="K38" s="36">
        <v>0</v>
      </c>
      <c r="L38" s="36" t="s">
        <v>309</v>
      </c>
    </row>
    <row r="39" spans="1:12">
      <c r="A39" s="36">
        <v>20409</v>
      </c>
      <c r="B39" s="36">
        <v>20400</v>
      </c>
      <c r="C39" s="36">
        <v>9</v>
      </c>
      <c r="D39" s="36" t="s">
        <v>671</v>
      </c>
      <c r="E39" s="46">
        <v>175</v>
      </c>
      <c r="F39" s="46">
        <v>72</v>
      </c>
      <c r="G39" s="36">
        <v>140</v>
      </c>
      <c r="H39" s="36">
        <v>60</v>
      </c>
      <c r="I39" s="36">
        <v>8</v>
      </c>
      <c r="J39" s="36">
        <v>4</v>
      </c>
      <c r="K39" s="36">
        <v>0</v>
      </c>
      <c r="L39" s="36" t="s">
        <v>309</v>
      </c>
    </row>
    <row r="40" spans="1:12">
      <c r="A40" s="36">
        <v>20410</v>
      </c>
      <c r="B40" s="36">
        <v>20400</v>
      </c>
      <c r="C40" s="36">
        <v>10</v>
      </c>
      <c r="D40" s="36" t="s">
        <v>671</v>
      </c>
      <c r="E40" s="46">
        <v>220</v>
      </c>
      <c r="F40" s="46">
        <v>86</v>
      </c>
      <c r="G40" s="36">
        <v>196</v>
      </c>
      <c r="H40" s="36">
        <v>60</v>
      </c>
      <c r="I40" s="36">
        <v>9</v>
      </c>
      <c r="J40" s="36">
        <v>4</v>
      </c>
      <c r="K40" s="36">
        <v>0</v>
      </c>
      <c r="L40" s="36" t="s">
        <v>309</v>
      </c>
    </row>
    <row r="41" spans="1:12">
      <c r="A41" s="36">
        <v>20501</v>
      </c>
      <c r="B41" s="36">
        <v>20500</v>
      </c>
      <c r="C41" s="36">
        <v>1</v>
      </c>
      <c r="D41" s="36" t="s">
        <v>674</v>
      </c>
      <c r="E41" s="46">
        <v>357</v>
      </c>
      <c r="F41" s="46">
        <v>10</v>
      </c>
      <c r="G41" s="36">
        <v>100</v>
      </c>
      <c r="H41" s="36">
        <v>90</v>
      </c>
      <c r="I41" s="36">
        <v>6</v>
      </c>
      <c r="J41" s="36">
        <v>1</v>
      </c>
      <c r="K41" s="36">
        <v>0</v>
      </c>
      <c r="L41" s="36" t="s">
        <v>309</v>
      </c>
    </row>
    <row r="42" spans="1:12">
      <c r="A42" s="36">
        <v>20502</v>
      </c>
      <c r="B42" s="36">
        <v>20500</v>
      </c>
      <c r="C42" s="36">
        <v>2</v>
      </c>
      <c r="D42" s="36" t="s">
        <v>674</v>
      </c>
      <c r="E42" s="46">
        <v>495</v>
      </c>
      <c r="F42" s="46">
        <v>13</v>
      </c>
      <c r="G42" s="36">
        <v>220</v>
      </c>
      <c r="H42" s="36">
        <v>90</v>
      </c>
      <c r="I42" s="36">
        <v>6</v>
      </c>
      <c r="J42" s="36">
        <v>1</v>
      </c>
      <c r="K42" s="36">
        <v>0</v>
      </c>
      <c r="L42" s="36" t="s">
        <v>309</v>
      </c>
    </row>
    <row r="43" spans="1:12">
      <c r="A43" s="36">
        <v>20503</v>
      </c>
      <c r="B43" s="36">
        <v>20500</v>
      </c>
      <c r="C43" s="36">
        <v>3</v>
      </c>
      <c r="D43" s="36" t="s">
        <v>674</v>
      </c>
      <c r="E43" s="46">
        <v>665</v>
      </c>
      <c r="F43" s="46">
        <v>18</v>
      </c>
      <c r="G43" s="36">
        <v>336</v>
      </c>
      <c r="H43" s="36">
        <v>120</v>
      </c>
      <c r="I43" s="36">
        <v>7</v>
      </c>
      <c r="J43" s="36">
        <v>2</v>
      </c>
      <c r="K43" s="36">
        <v>0</v>
      </c>
      <c r="L43" s="36" t="s">
        <v>309</v>
      </c>
    </row>
    <row r="44" spans="1:12">
      <c r="A44" s="36">
        <v>20504</v>
      </c>
      <c r="B44" s="36">
        <v>20500</v>
      </c>
      <c r="C44" s="36">
        <v>4</v>
      </c>
      <c r="D44" s="36" t="s">
        <v>674</v>
      </c>
      <c r="E44" s="46">
        <v>860</v>
      </c>
      <c r="F44" s="46">
        <v>22</v>
      </c>
      <c r="G44" s="36">
        <v>448</v>
      </c>
      <c r="H44" s="36">
        <v>120</v>
      </c>
      <c r="I44" s="36">
        <v>8</v>
      </c>
      <c r="J44" s="36">
        <v>2</v>
      </c>
      <c r="K44" s="36">
        <v>0</v>
      </c>
      <c r="L44" s="36" t="s">
        <v>309</v>
      </c>
    </row>
    <row r="45" spans="1:12">
      <c r="A45" s="36">
        <v>20601</v>
      </c>
      <c r="B45" s="36">
        <v>20600</v>
      </c>
      <c r="C45" s="36">
        <v>1</v>
      </c>
      <c r="D45" s="36" t="s">
        <v>677</v>
      </c>
      <c r="E45" s="46">
        <v>58</v>
      </c>
      <c r="F45" s="46">
        <v>9</v>
      </c>
      <c r="G45" s="36">
        <v>15</v>
      </c>
      <c r="H45" s="36">
        <v>180</v>
      </c>
      <c r="I45" s="36">
        <v>5</v>
      </c>
      <c r="J45" s="36">
        <v>1</v>
      </c>
      <c r="K45" s="36">
        <v>0</v>
      </c>
      <c r="L45" s="36" t="s">
        <v>309</v>
      </c>
    </row>
    <row r="46" spans="1:12">
      <c r="A46" s="36">
        <v>20602</v>
      </c>
      <c r="B46" s="36">
        <v>20600</v>
      </c>
      <c r="C46" s="36">
        <v>2</v>
      </c>
      <c r="D46" s="36" t="s">
        <v>677</v>
      </c>
      <c r="E46" s="46">
        <v>70</v>
      </c>
      <c r="F46" s="46">
        <v>12</v>
      </c>
      <c r="G46" s="36">
        <v>210</v>
      </c>
      <c r="H46" s="36">
        <v>180</v>
      </c>
      <c r="I46" s="36">
        <v>6</v>
      </c>
      <c r="J46" s="36">
        <v>1</v>
      </c>
      <c r="K46" s="36">
        <v>0</v>
      </c>
      <c r="L46" s="36" t="s">
        <v>309</v>
      </c>
    </row>
    <row r="47" spans="1:12">
      <c r="A47" s="36">
        <v>20603</v>
      </c>
      <c r="B47" s="36">
        <v>20600</v>
      </c>
      <c r="C47" s="36">
        <v>3</v>
      </c>
      <c r="D47" s="36" t="s">
        <v>677</v>
      </c>
      <c r="E47" s="46">
        <v>86</v>
      </c>
      <c r="F47" s="46">
        <v>14</v>
      </c>
      <c r="G47" s="36">
        <v>382</v>
      </c>
      <c r="H47" s="36">
        <v>240</v>
      </c>
      <c r="I47" s="36">
        <v>7</v>
      </c>
      <c r="J47" s="36">
        <v>1</v>
      </c>
      <c r="K47" s="36">
        <v>0</v>
      </c>
      <c r="L47" s="36" t="s">
        <v>309</v>
      </c>
    </row>
    <row r="48" spans="1:12">
      <c r="A48" s="36">
        <v>20604</v>
      </c>
      <c r="B48" s="36">
        <v>20600</v>
      </c>
      <c r="C48" s="36">
        <v>4</v>
      </c>
      <c r="D48" s="36" t="s">
        <v>677</v>
      </c>
      <c r="E48" s="46">
        <v>101</v>
      </c>
      <c r="F48" s="46">
        <v>18</v>
      </c>
      <c r="G48" s="36">
        <v>560</v>
      </c>
      <c r="H48" s="36">
        <v>240</v>
      </c>
      <c r="I48" s="36">
        <v>8</v>
      </c>
      <c r="J48" s="36">
        <v>2</v>
      </c>
      <c r="K48" s="36">
        <v>0</v>
      </c>
      <c r="L48" s="36" t="s">
        <v>309</v>
      </c>
    </row>
    <row r="49" spans="1:12">
      <c r="A49" s="36">
        <v>20701</v>
      </c>
      <c r="B49" s="36">
        <v>20700</v>
      </c>
      <c r="C49" s="36">
        <v>1</v>
      </c>
      <c r="D49" s="36" t="s">
        <v>680</v>
      </c>
      <c r="E49" s="46">
        <v>110</v>
      </c>
      <c r="F49" s="46">
        <v>24</v>
      </c>
      <c r="G49" s="36">
        <v>65</v>
      </c>
      <c r="H49" s="36">
        <v>240</v>
      </c>
      <c r="I49" s="36">
        <v>5</v>
      </c>
      <c r="J49" s="36">
        <v>1</v>
      </c>
      <c r="K49" s="36">
        <v>0</v>
      </c>
      <c r="L49" s="36" t="s">
        <v>309</v>
      </c>
    </row>
    <row r="50" spans="1:12">
      <c r="A50" s="36">
        <v>20702</v>
      </c>
      <c r="B50" s="36">
        <v>20700</v>
      </c>
      <c r="C50" s="36">
        <v>2</v>
      </c>
      <c r="D50" s="36" t="s">
        <v>680</v>
      </c>
      <c r="E50" s="46">
        <v>144</v>
      </c>
      <c r="F50" s="46">
        <v>46</v>
      </c>
      <c r="G50" s="36">
        <v>132</v>
      </c>
      <c r="H50" s="36">
        <v>240</v>
      </c>
      <c r="I50" s="36">
        <v>6</v>
      </c>
      <c r="J50" s="36">
        <v>1</v>
      </c>
      <c r="K50" s="36">
        <v>0</v>
      </c>
      <c r="L50" s="36" t="s">
        <v>309</v>
      </c>
    </row>
    <row r="51" spans="1:12">
      <c r="A51" s="36">
        <v>20703</v>
      </c>
      <c r="B51" s="36">
        <v>20700</v>
      </c>
      <c r="C51" s="36">
        <v>3</v>
      </c>
      <c r="D51" s="36" t="s">
        <v>680</v>
      </c>
      <c r="E51" s="46">
        <v>195</v>
      </c>
      <c r="F51" s="46">
        <v>86</v>
      </c>
      <c r="G51" s="36">
        <v>279</v>
      </c>
      <c r="H51" s="36">
        <v>300</v>
      </c>
      <c r="I51" s="36">
        <v>7</v>
      </c>
      <c r="J51" s="36">
        <v>2</v>
      </c>
      <c r="K51" s="36">
        <v>0</v>
      </c>
      <c r="L51" s="36" t="s">
        <v>309</v>
      </c>
    </row>
    <row r="52" spans="1:12">
      <c r="A52" s="36">
        <v>20704</v>
      </c>
      <c r="B52" s="36">
        <v>20700</v>
      </c>
      <c r="C52" s="36">
        <v>4</v>
      </c>
      <c r="D52" s="36" t="s">
        <v>680</v>
      </c>
      <c r="E52" s="46">
        <v>280</v>
      </c>
      <c r="F52" s="46">
        <v>136</v>
      </c>
      <c r="G52" s="36">
        <v>365</v>
      </c>
      <c r="H52" s="36">
        <v>300</v>
      </c>
      <c r="I52" s="36">
        <v>7</v>
      </c>
      <c r="J52" s="36">
        <v>2</v>
      </c>
      <c r="K52" s="36">
        <v>0</v>
      </c>
      <c r="L52" s="36" t="s">
        <v>309</v>
      </c>
    </row>
    <row r="53" spans="1:12">
      <c r="A53" s="36">
        <v>20705</v>
      </c>
      <c r="B53" s="36">
        <v>20700</v>
      </c>
      <c r="C53" s="36">
        <v>5</v>
      </c>
      <c r="D53" s="36" t="s">
        <v>680</v>
      </c>
      <c r="E53" s="46">
        <v>390</v>
      </c>
      <c r="F53" s="46">
        <v>198</v>
      </c>
      <c r="G53" s="36">
        <v>420</v>
      </c>
      <c r="H53" s="36">
        <v>300</v>
      </c>
      <c r="I53" s="36">
        <v>8</v>
      </c>
      <c r="J53" s="36">
        <v>3</v>
      </c>
      <c r="K53" s="36">
        <v>0</v>
      </c>
      <c r="L53" s="36" t="s">
        <v>309</v>
      </c>
    </row>
    <row r="54" spans="1:12">
      <c r="A54" s="36">
        <v>20706</v>
      </c>
      <c r="B54" s="36">
        <v>20700</v>
      </c>
      <c r="C54" s="36">
        <v>6</v>
      </c>
      <c r="D54" s="36" t="s">
        <v>680</v>
      </c>
      <c r="E54" s="46">
        <v>528</v>
      </c>
      <c r="F54" s="46">
        <v>257</v>
      </c>
      <c r="G54" s="36">
        <v>525</v>
      </c>
      <c r="H54" s="36">
        <v>360</v>
      </c>
      <c r="I54" s="36">
        <v>9</v>
      </c>
      <c r="J54" s="36">
        <v>3</v>
      </c>
      <c r="K54" s="36">
        <v>0</v>
      </c>
      <c r="L54" s="36" t="s">
        <v>309</v>
      </c>
    </row>
    <row r="55" spans="1:12">
      <c r="A55" s="36">
        <v>20801</v>
      </c>
      <c r="B55" s="36">
        <v>20800</v>
      </c>
      <c r="C55" s="36">
        <v>1</v>
      </c>
      <c r="D55" s="36" t="s">
        <v>683</v>
      </c>
      <c r="E55" s="46">
        <v>165</v>
      </c>
      <c r="F55" s="46">
        <v>7</v>
      </c>
      <c r="G55" s="36">
        <v>200</v>
      </c>
      <c r="H55" s="36">
        <v>300</v>
      </c>
      <c r="I55" s="36">
        <v>6</v>
      </c>
      <c r="J55" s="36">
        <v>1</v>
      </c>
      <c r="K55" s="36">
        <v>0</v>
      </c>
      <c r="L55" s="36" t="s">
        <v>309</v>
      </c>
    </row>
    <row r="56" spans="1:12">
      <c r="A56" s="36">
        <v>20802</v>
      </c>
      <c r="B56" s="36">
        <v>20800</v>
      </c>
      <c r="C56" s="36">
        <v>2</v>
      </c>
      <c r="D56" s="36" t="s">
        <v>683</v>
      </c>
      <c r="E56" s="46">
        <v>240</v>
      </c>
      <c r="F56" s="46">
        <v>10</v>
      </c>
      <c r="G56" s="36">
        <v>300</v>
      </c>
      <c r="H56" s="36">
        <v>300</v>
      </c>
      <c r="I56" s="36">
        <v>7</v>
      </c>
      <c r="J56" s="36">
        <v>1</v>
      </c>
      <c r="K56" s="36">
        <v>0</v>
      </c>
      <c r="L56" s="36" t="s">
        <v>309</v>
      </c>
    </row>
    <row r="57" spans="1:12">
      <c r="A57" s="36">
        <v>20803</v>
      </c>
      <c r="B57" s="36">
        <v>20800</v>
      </c>
      <c r="C57" s="36">
        <v>3</v>
      </c>
      <c r="D57" s="36" t="s">
        <v>683</v>
      </c>
      <c r="E57" s="46">
        <v>351</v>
      </c>
      <c r="F57" s="46">
        <v>13</v>
      </c>
      <c r="G57" s="36">
        <v>600</v>
      </c>
      <c r="H57" s="36">
        <v>360</v>
      </c>
      <c r="I57" s="36">
        <v>8</v>
      </c>
      <c r="J57" s="36">
        <v>2</v>
      </c>
      <c r="K57" s="36">
        <v>0</v>
      </c>
      <c r="L57" s="36" t="s">
        <v>309</v>
      </c>
    </row>
    <row r="58" spans="1:12">
      <c r="A58" s="36">
        <v>20804</v>
      </c>
      <c r="B58" s="36">
        <v>20800</v>
      </c>
      <c r="C58" s="36">
        <v>4</v>
      </c>
      <c r="D58" s="36" t="s">
        <v>683</v>
      </c>
      <c r="E58" s="46">
        <v>490</v>
      </c>
      <c r="F58" s="46">
        <v>19</v>
      </c>
      <c r="G58" s="36">
        <v>802</v>
      </c>
      <c r="H58" s="36">
        <v>360</v>
      </c>
      <c r="I58" s="36">
        <v>9</v>
      </c>
      <c r="J58" s="36">
        <v>2</v>
      </c>
      <c r="K58" s="36">
        <v>0</v>
      </c>
      <c r="L58" s="36" t="s">
        <v>309</v>
      </c>
    </row>
    <row r="59" spans="1:12">
      <c r="A59" s="36">
        <v>20901</v>
      </c>
      <c r="B59" s="36">
        <v>20900</v>
      </c>
      <c r="C59" s="36">
        <v>1</v>
      </c>
      <c r="D59" s="36" t="s">
        <v>713</v>
      </c>
      <c r="E59" s="46">
        <v>220</v>
      </c>
      <c r="F59" s="46">
        <v>36</v>
      </c>
      <c r="G59" s="36">
        <v>22</v>
      </c>
      <c r="H59" s="36">
        <v>60</v>
      </c>
      <c r="I59" s="36">
        <v>7</v>
      </c>
      <c r="J59" s="36">
        <v>1</v>
      </c>
      <c r="K59" s="36">
        <v>0</v>
      </c>
      <c r="L59" s="36" t="s">
        <v>309</v>
      </c>
    </row>
    <row r="60" spans="1:12">
      <c r="A60" s="36">
        <v>20902</v>
      </c>
      <c r="B60" s="36">
        <v>20900</v>
      </c>
      <c r="C60" s="36">
        <v>2</v>
      </c>
      <c r="D60" s="36" t="s">
        <v>713</v>
      </c>
      <c r="E60" s="46">
        <v>288</v>
      </c>
      <c r="F60" s="46">
        <v>45</v>
      </c>
      <c r="G60" s="36">
        <v>140</v>
      </c>
      <c r="H60" s="36">
        <v>120</v>
      </c>
      <c r="I60" s="36">
        <v>8</v>
      </c>
      <c r="J60" s="36">
        <v>1</v>
      </c>
      <c r="K60" s="36">
        <v>0</v>
      </c>
      <c r="L60" s="36" t="s">
        <v>309</v>
      </c>
    </row>
    <row r="61" spans="1:12">
      <c r="A61" s="36">
        <v>20903</v>
      </c>
      <c r="B61" s="36">
        <v>20900</v>
      </c>
      <c r="C61" s="36">
        <v>3</v>
      </c>
      <c r="D61" s="36" t="s">
        <v>713</v>
      </c>
      <c r="E61" s="46">
        <v>377</v>
      </c>
      <c r="F61" s="46">
        <v>55</v>
      </c>
      <c r="G61" s="36">
        <v>252</v>
      </c>
      <c r="H61" s="36">
        <v>180</v>
      </c>
      <c r="I61" s="36">
        <v>9</v>
      </c>
      <c r="J61" s="36">
        <v>1</v>
      </c>
      <c r="K61" s="36">
        <v>0</v>
      </c>
      <c r="L61" s="36" t="s">
        <v>309</v>
      </c>
    </row>
    <row r="62" spans="1:12">
      <c r="A62" s="36">
        <v>21001</v>
      </c>
      <c r="B62" s="36">
        <v>21000</v>
      </c>
      <c r="C62" s="36">
        <v>1</v>
      </c>
      <c r="D62" s="36" t="s">
        <v>690</v>
      </c>
      <c r="E62" s="46">
        <v>308</v>
      </c>
      <c r="F62" s="46">
        <v>30</v>
      </c>
      <c r="G62" s="36">
        <v>3</v>
      </c>
      <c r="H62" s="36">
        <v>360</v>
      </c>
      <c r="I62" s="36">
        <v>8</v>
      </c>
      <c r="J62" s="36">
        <v>1</v>
      </c>
      <c r="K62" s="36">
        <v>0</v>
      </c>
      <c r="L62" s="36" t="s">
        <v>309</v>
      </c>
    </row>
    <row r="63" spans="1:12">
      <c r="A63" s="36">
        <v>21002</v>
      </c>
      <c r="B63" s="36">
        <v>21000</v>
      </c>
      <c r="C63" s="36">
        <v>2</v>
      </c>
      <c r="D63" s="36" t="s">
        <v>690</v>
      </c>
      <c r="E63" s="46">
        <v>438</v>
      </c>
      <c r="F63" s="46">
        <v>42</v>
      </c>
      <c r="G63" s="36">
        <v>9</v>
      </c>
      <c r="H63" s="36">
        <v>360</v>
      </c>
      <c r="I63" s="36">
        <v>8</v>
      </c>
      <c r="J63" s="36">
        <v>1</v>
      </c>
      <c r="K63" s="36">
        <v>0</v>
      </c>
      <c r="L63" s="36" t="s">
        <v>309</v>
      </c>
    </row>
    <row r="64" spans="1:12">
      <c r="A64" s="36">
        <v>21003</v>
      </c>
      <c r="B64" s="36">
        <v>21000</v>
      </c>
      <c r="C64" s="36">
        <v>3</v>
      </c>
      <c r="D64" s="36" t="s">
        <v>690</v>
      </c>
      <c r="E64" s="46">
        <v>592</v>
      </c>
      <c r="F64" s="46">
        <v>58</v>
      </c>
      <c r="G64" s="36">
        <v>22</v>
      </c>
      <c r="H64" s="36">
        <v>420</v>
      </c>
      <c r="I64" s="36">
        <v>9</v>
      </c>
      <c r="J64" s="36">
        <v>1</v>
      </c>
      <c r="K64" s="36">
        <v>0</v>
      </c>
      <c r="L64" s="36" t="s">
        <v>309</v>
      </c>
    </row>
    <row r="65" spans="1:12">
      <c r="A65" s="36">
        <v>21101</v>
      </c>
      <c r="B65" s="36">
        <v>21100</v>
      </c>
      <c r="C65" s="36">
        <v>1</v>
      </c>
      <c r="D65" s="36" t="s">
        <v>694</v>
      </c>
      <c r="E65" s="46">
        <v>1210</v>
      </c>
      <c r="F65" s="46">
        <v>254</v>
      </c>
      <c r="G65" s="36">
        <v>5</v>
      </c>
      <c r="H65" s="36">
        <v>360</v>
      </c>
      <c r="I65" s="36">
        <v>8</v>
      </c>
      <c r="J65" s="36">
        <v>1</v>
      </c>
      <c r="K65" s="36">
        <v>0</v>
      </c>
      <c r="L65" s="36" t="s">
        <v>309</v>
      </c>
    </row>
    <row r="66" spans="1:12">
      <c r="A66" s="36">
        <v>21102</v>
      </c>
      <c r="B66" s="36">
        <v>21100</v>
      </c>
      <c r="C66" s="36">
        <v>2</v>
      </c>
      <c r="D66" s="36" t="s">
        <v>694</v>
      </c>
      <c r="E66" s="46">
        <v>1440</v>
      </c>
      <c r="F66" s="46">
        <v>304</v>
      </c>
      <c r="G66" s="36">
        <v>20</v>
      </c>
      <c r="H66" s="36">
        <v>360</v>
      </c>
      <c r="I66" s="36">
        <v>8</v>
      </c>
      <c r="J66" s="36">
        <v>1</v>
      </c>
      <c r="K66" s="36">
        <v>0</v>
      </c>
      <c r="L66" s="36" t="s">
        <v>309</v>
      </c>
    </row>
    <row r="67" spans="1:12">
      <c r="A67" s="36">
        <v>21103</v>
      </c>
      <c r="B67" s="36">
        <v>21100</v>
      </c>
      <c r="C67" s="36">
        <v>3</v>
      </c>
      <c r="D67" s="36" t="s">
        <v>694</v>
      </c>
      <c r="E67" s="46">
        <v>1820</v>
      </c>
      <c r="F67" s="46">
        <v>358</v>
      </c>
      <c r="G67" s="36">
        <v>38</v>
      </c>
      <c r="H67" s="36">
        <v>720</v>
      </c>
      <c r="I67" s="36">
        <v>9</v>
      </c>
      <c r="J67" s="36">
        <v>1</v>
      </c>
      <c r="K67" s="36">
        <v>0</v>
      </c>
      <c r="L67" s="36" t="s">
        <v>309</v>
      </c>
    </row>
    <row r="68" spans="1:12">
      <c r="A68" s="36">
        <v>21201</v>
      </c>
      <c r="B68" s="36">
        <v>21200</v>
      </c>
      <c r="C68" s="36">
        <v>1</v>
      </c>
      <c r="D68" s="36" t="s">
        <v>697</v>
      </c>
      <c r="E68" s="46">
        <v>605</v>
      </c>
      <c r="F68" s="46">
        <v>6</v>
      </c>
      <c r="G68" s="36">
        <v>20</v>
      </c>
      <c r="H68" s="36">
        <v>720</v>
      </c>
      <c r="I68" s="36">
        <v>8</v>
      </c>
      <c r="J68" s="36">
        <v>1</v>
      </c>
      <c r="K68" s="36">
        <v>4</v>
      </c>
      <c r="L68" s="36" t="s">
        <v>309</v>
      </c>
    </row>
    <row r="69" spans="1:12">
      <c r="A69" s="36">
        <v>21202</v>
      </c>
      <c r="B69" s="36">
        <v>21200</v>
      </c>
      <c r="C69" s="36">
        <v>2</v>
      </c>
      <c r="D69" s="36" t="s">
        <v>697</v>
      </c>
      <c r="E69" s="46">
        <v>828</v>
      </c>
      <c r="F69" s="46">
        <v>9</v>
      </c>
      <c r="G69" s="36">
        <v>30</v>
      </c>
      <c r="H69" s="36">
        <v>720</v>
      </c>
      <c r="I69" s="36">
        <v>9</v>
      </c>
      <c r="J69" s="36">
        <v>1</v>
      </c>
      <c r="K69" s="36">
        <v>6</v>
      </c>
      <c r="L69" s="36" t="s">
        <v>309</v>
      </c>
    </row>
    <row r="70" spans="1:12">
      <c r="A70" s="36">
        <v>21301</v>
      </c>
      <c r="B70" s="36">
        <v>21300</v>
      </c>
      <c r="C70" s="36">
        <v>1</v>
      </c>
      <c r="D70" s="36" t="s">
        <v>701</v>
      </c>
      <c r="E70" s="36">
        <v>150</v>
      </c>
      <c r="F70" s="46">
        <v>61</v>
      </c>
      <c r="G70" s="36">
        <v>0</v>
      </c>
      <c r="H70" s="36">
        <v>720</v>
      </c>
      <c r="I70" s="36">
        <v>8</v>
      </c>
      <c r="J70" s="36">
        <v>1</v>
      </c>
      <c r="K70" s="36">
        <v>0</v>
      </c>
      <c r="L70" s="36" t="s">
        <v>309</v>
      </c>
    </row>
  </sheetData>
  <phoneticPr fontId="3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70"/>
  <sheetViews>
    <sheetView workbookViewId="0">
      <selection activeCell="D1" sqref="D1"/>
    </sheetView>
  </sheetViews>
  <sheetFormatPr defaultRowHeight="16.5"/>
  <cols>
    <col min="1" max="2" width="9" style="48"/>
    <col min="3" max="3" width="11.875" style="48" customWidth="1"/>
    <col min="4" max="4" width="15.125" style="48" bestFit="1" customWidth="1"/>
    <col min="5" max="5" width="9" style="48"/>
    <col min="6" max="6" width="26" style="53" bestFit="1" customWidth="1"/>
    <col min="7" max="7" width="22" style="48" bestFit="1" customWidth="1"/>
    <col min="8" max="8" width="23" style="48" bestFit="1" customWidth="1"/>
    <col min="9" max="9" width="18.75" style="48" bestFit="1" customWidth="1"/>
    <col min="10" max="10" width="9.625" style="48" bestFit="1" customWidth="1"/>
    <col min="11" max="16384" width="9" style="48"/>
  </cols>
  <sheetData>
    <row r="1" spans="1:10">
      <c r="A1" s="38" t="s">
        <v>0</v>
      </c>
      <c r="B1" s="38" t="s">
        <v>714</v>
      </c>
      <c r="C1" s="38" t="s">
        <v>140</v>
      </c>
      <c r="D1" s="38" t="s">
        <v>1162</v>
      </c>
      <c r="E1" s="38" t="s">
        <v>153</v>
      </c>
      <c r="F1" s="64" t="s">
        <v>715</v>
      </c>
      <c r="G1" s="38" t="s">
        <v>498</v>
      </c>
      <c r="H1" s="38" t="s">
        <v>499</v>
      </c>
      <c r="I1" s="38" t="s">
        <v>716</v>
      </c>
      <c r="J1" s="38" t="s">
        <v>262</v>
      </c>
    </row>
    <row r="2" spans="1:10">
      <c r="A2" s="36">
        <v>20101</v>
      </c>
      <c r="B2" s="36">
        <v>20100</v>
      </c>
      <c r="C2" s="46" t="s">
        <v>717</v>
      </c>
      <c r="D2" s="36" t="s">
        <v>662</v>
      </c>
      <c r="E2" s="46">
        <v>1</v>
      </c>
      <c r="F2" s="65">
        <v>1</v>
      </c>
      <c r="G2" s="46">
        <v>2</v>
      </c>
      <c r="H2" s="46">
        <v>1000</v>
      </c>
      <c r="I2" s="46">
        <v>2</v>
      </c>
      <c r="J2" s="46" t="s">
        <v>267</v>
      </c>
    </row>
    <row r="3" spans="1:10">
      <c r="A3" s="36">
        <v>20102</v>
      </c>
      <c r="B3" s="36">
        <v>20100</v>
      </c>
      <c r="C3" s="46" t="s">
        <v>717</v>
      </c>
      <c r="D3" s="36" t="s">
        <v>662</v>
      </c>
      <c r="E3" s="46">
        <v>2</v>
      </c>
      <c r="F3" s="65">
        <v>2</v>
      </c>
      <c r="G3" s="46">
        <v>2</v>
      </c>
      <c r="H3" s="46">
        <v>3000</v>
      </c>
      <c r="I3" s="46">
        <v>6</v>
      </c>
      <c r="J3" s="46" t="s">
        <v>267</v>
      </c>
    </row>
    <row r="4" spans="1:10">
      <c r="A4" s="36">
        <v>20103</v>
      </c>
      <c r="B4" s="36">
        <v>20100</v>
      </c>
      <c r="C4" s="46" t="s">
        <v>717</v>
      </c>
      <c r="D4" s="36" t="s">
        <v>662</v>
      </c>
      <c r="E4" s="46">
        <v>3</v>
      </c>
      <c r="F4" s="65">
        <v>3</v>
      </c>
      <c r="G4" s="46">
        <v>2</v>
      </c>
      <c r="H4" s="46">
        <v>5000</v>
      </c>
      <c r="I4" s="46">
        <v>8</v>
      </c>
      <c r="J4" s="46" t="s">
        <v>267</v>
      </c>
    </row>
    <row r="5" spans="1:10">
      <c r="A5" s="36">
        <v>20104</v>
      </c>
      <c r="B5" s="36">
        <v>20100</v>
      </c>
      <c r="C5" s="46" t="s">
        <v>717</v>
      </c>
      <c r="D5" s="36" t="s">
        <v>662</v>
      </c>
      <c r="E5" s="46">
        <v>4</v>
      </c>
      <c r="F5" s="65">
        <v>3</v>
      </c>
      <c r="G5" s="46">
        <v>2</v>
      </c>
      <c r="H5" s="46">
        <v>10000</v>
      </c>
      <c r="I5" s="46">
        <v>12</v>
      </c>
      <c r="J5" s="46" t="s">
        <v>267</v>
      </c>
    </row>
    <row r="6" spans="1:10">
      <c r="A6" s="36">
        <v>20105</v>
      </c>
      <c r="B6" s="36">
        <v>20100</v>
      </c>
      <c r="C6" s="46" t="s">
        <v>717</v>
      </c>
      <c r="D6" s="36" t="s">
        <v>662</v>
      </c>
      <c r="E6" s="46">
        <v>5</v>
      </c>
      <c r="F6" s="65">
        <v>4</v>
      </c>
      <c r="G6" s="46">
        <v>2</v>
      </c>
      <c r="H6" s="46">
        <v>20000</v>
      </c>
      <c r="I6" s="46">
        <v>16</v>
      </c>
      <c r="J6" s="46" t="s">
        <v>267</v>
      </c>
    </row>
    <row r="7" spans="1:10">
      <c r="A7" s="36">
        <v>20106</v>
      </c>
      <c r="B7" s="36">
        <v>20100</v>
      </c>
      <c r="C7" s="46" t="s">
        <v>717</v>
      </c>
      <c r="D7" s="36" t="s">
        <v>662</v>
      </c>
      <c r="E7" s="46">
        <v>6</v>
      </c>
      <c r="F7" s="65">
        <v>5</v>
      </c>
      <c r="G7" s="46">
        <v>2</v>
      </c>
      <c r="H7" s="46">
        <v>40000</v>
      </c>
      <c r="I7" s="46">
        <v>24</v>
      </c>
      <c r="J7" s="46" t="s">
        <v>267</v>
      </c>
    </row>
    <row r="8" spans="1:10">
      <c r="A8" s="36">
        <v>20107</v>
      </c>
      <c r="B8" s="36">
        <v>20100</v>
      </c>
      <c r="C8" s="46" t="s">
        <v>717</v>
      </c>
      <c r="D8" s="36" t="s">
        <v>662</v>
      </c>
      <c r="E8" s="46">
        <v>7</v>
      </c>
      <c r="F8" s="65">
        <v>6</v>
      </c>
      <c r="G8" s="46">
        <v>2</v>
      </c>
      <c r="H8" s="46">
        <v>60000</v>
      </c>
      <c r="I8" s="46">
        <v>36</v>
      </c>
      <c r="J8" s="46" t="s">
        <v>267</v>
      </c>
    </row>
    <row r="9" spans="1:10">
      <c r="A9" s="36">
        <v>20108</v>
      </c>
      <c r="B9" s="36">
        <v>20100</v>
      </c>
      <c r="C9" s="46" t="s">
        <v>717</v>
      </c>
      <c r="D9" s="36" t="s">
        <v>662</v>
      </c>
      <c r="E9" s="46">
        <v>8</v>
      </c>
      <c r="F9" s="65">
        <v>6</v>
      </c>
      <c r="G9" s="46">
        <v>2</v>
      </c>
      <c r="H9" s="46">
        <v>80000</v>
      </c>
      <c r="I9" s="46">
        <v>48</v>
      </c>
      <c r="J9" s="46" t="s">
        <v>267</v>
      </c>
    </row>
    <row r="10" spans="1:10">
      <c r="A10" s="36">
        <v>20109</v>
      </c>
      <c r="B10" s="36">
        <v>20100</v>
      </c>
      <c r="C10" s="46" t="s">
        <v>717</v>
      </c>
      <c r="D10" s="36" t="s">
        <v>662</v>
      </c>
      <c r="E10" s="46">
        <v>9</v>
      </c>
      <c r="F10" s="65">
        <v>7</v>
      </c>
      <c r="G10" s="46">
        <v>2</v>
      </c>
      <c r="H10" s="46">
        <v>120000</v>
      </c>
      <c r="I10" s="46">
        <v>72</v>
      </c>
      <c r="J10" s="46" t="s">
        <v>267</v>
      </c>
    </row>
    <row r="11" spans="1:10">
      <c r="A11" s="36">
        <v>20110</v>
      </c>
      <c r="B11" s="36">
        <v>20100</v>
      </c>
      <c r="C11" s="46" t="s">
        <v>717</v>
      </c>
      <c r="D11" s="36" t="s">
        <v>662</v>
      </c>
      <c r="E11" s="46">
        <v>10</v>
      </c>
      <c r="F11" s="65">
        <v>8</v>
      </c>
      <c r="G11" s="46">
        <v>2</v>
      </c>
      <c r="H11" s="46">
        <v>0</v>
      </c>
      <c r="I11" s="46">
        <v>0</v>
      </c>
      <c r="J11" s="46" t="s">
        <v>267</v>
      </c>
    </row>
    <row r="12" spans="1:10">
      <c r="A12" s="36">
        <v>20201</v>
      </c>
      <c r="B12" s="36">
        <v>20200</v>
      </c>
      <c r="C12" s="46" t="s">
        <v>717</v>
      </c>
      <c r="D12" s="36" t="s">
        <v>665</v>
      </c>
      <c r="E12" s="46">
        <v>1</v>
      </c>
      <c r="F12" s="65">
        <v>2</v>
      </c>
      <c r="G12" s="46">
        <v>2</v>
      </c>
      <c r="H12" s="46">
        <v>1000</v>
      </c>
      <c r="I12" s="46">
        <v>2</v>
      </c>
      <c r="J12" s="46" t="s">
        <v>267</v>
      </c>
    </row>
    <row r="13" spans="1:10">
      <c r="A13" s="36">
        <v>20202</v>
      </c>
      <c r="B13" s="36">
        <v>20200</v>
      </c>
      <c r="C13" s="46" t="s">
        <v>717</v>
      </c>
      <c r="D13" s="36" t="s">
        <v>665</v>
      </c>
      <c r="E13" s="46">
        <v>2</v>
      </c>
      <c r="F13" s="65">
        <v>3</v>
      </c>
      <c r="G13" s="46">
        <v>2</v>
      </c>
      <c r="H13" s="46">
        <v>2500</v>
      </c>
      <c r="I13" s="46">
        <v>6</v>
      </c>
      <c r="J13" s="46" t="s">
        <v>267</v>
      </c>
    </row>
    <row r="14" spans="1:10">
      <c r="A14" s="36">
        <v>20203</v>
      </c>
      <c r="B14" s="36">
        <v>20200</v>
      </c>
      <c r="C14" s="46" t="s">
        <v>717</v>
      </c>
      <c r="D14" s="36" t="s">
        <v>665</v>
      </c>
      <c r="E14" s="46">
        <v>3</v>
      </c>
      <c r="F14" s="65">
        <v>4</v>
      </c>
      <c r="G14" s="46">
        <v>2</v>
      </c>
      <c r="H14" s="46">
        <v>4000</v>
      </c>
      <c r="I14" s="46">
        <v>8</v>
      </c>
      <c r="J14" s="46" t="s">
        <v>267</v>
      </c>
    </row>
    <row r="15" spans="1:10">
      <c r="A15" s="36">
        <v>20204</v>
      </c>
      <c r="B15" s="36">
        <v>20200</v>
      </c>
      <c r="C15" s="46" t="s">
        <v>717</v>
      </c>
      <c r="D15" s="36" t="s">
        <v>665</v>
      </c>
      <c r="E15" s="46">
        <v>4</v>
      </c>
      <c r="F15" s="65">
        <v>4</v>
      </c>
      <c r="G15" s="46">
        <v>2</v>
      </c>
      <c r="H15" s="46">
        <v>8000</v>
      </c>
      <c r="I15" s="46">
        <v>12</v>
      </c>
      <c r="J15" s="46" t="s">
        <v>267</v>
      </c>
    </row>
    <row r="16" spans="1:10">
      <c r="A16" s="36">
        <v>20205</v>
      </c>
      <c r="B16" s="36">
        <v>20200</v>
      </c>
      <c r="C16" s="46" t="s">
        <v>717</v>
      </c>
      <c r="D16" s="36" t="s">
        <v>665</v>
      </c>
      <c r="E16" s="46">
        <v>5</v>
      </c>
      <c r="F16" s="65">
        <v>5</v>
      </c>
      <c r="G16" s="46">
        <v>2</v>
      </c>
      <c r="H16" s="46">
        <v>20000</v>
      </c>
      <c r="I16" s="46">
        <v>16</v>
      </c>
      <c r="J16" s="46" t="s">
        <v>267</v>
      </c>
    </row>
    <row r="17" spans="1:10">
      <c r="A17" s="36">
        <v>20206</v>
      </c>
      <c r="B17" s="36">
        <v>20200</v>
      </c>
      <c r="C17" s="46" t="s">
        <v>717</v>
      </c>
      <c r="D17" s="36" t="s">
        <v>665</v>
      </c>
      <c r="E17" s="46">
        <v>6</v>
      </c>
      <c r="F17" s="65">
        <v>5</v>
      </c>
      <c r="G17" s="46">
        <v>2</v>
      </c>
      <c r="H17" s="46">
        <v>50000</v>
      </c>
      <c r="I17" s="46">
        <v>24</v>
      </c>
      <c r="J17" s="46" t="s">
        <v>267</v>
      </c>
    </row>
    <row r="18" spans="1:10">
      <c r="A18" s="36">
        <v>20207</v>
      </c>
      <c r="B18" s="36">
        <v>20200</v>
      </c>
      <c r="C18" s="46" t="s">
        <v>717</v>
      </c>
      <c r="D18" s="36" t="s">
        <v>665</v>
      </c>
      <c r="E18" s="46">
        <v>7</v>
      </c>
      <c r="F18" s="65">
        <v>6</v>
      </c>
      <c r="G18" s="46">
        <v>2</v>
      </c>
      <c r="H18" s="46">
        <v>80000</v>
      </c>
      <c r="I18" s="46">
        <v>36</v>
      </c>
      <c r="J18" s="46" t="s">
        <v>267</v>
      </c>
    </row>
    <row r="19" spans="1:10">
      <c r="A19" s="36">
        <v>20208</v>
      </c>
      <c r="B19" s="36">
        <v>20200</v>
      </c>
      <c r="C19" s="46" t="s">
        <v>717</v>
      </c>
      <c r="D19" s="36" t="s">
        <v>665</v>
      </c>
      <c r="E19" s="46">
        <v>8</v>
      </c>
      <c r="F19" s="65">
        <v>7</v>
      </c>
      <c r="G19" s="46">
        <v>2</v>
      </c>
      <c r="H19" s="46">
        <v>100000</v>
      </c>
      <c r="I19" s="46">
        <v>48</v>
      </c>
      <c r="J19" s="46" t="s">
        <v>267</v>
      </c>
    </row>
    <row r="20" spans="1:10">
      <c r="A20" s="36">
        <v>20209</v>
      </c>
      <c r="B20" s="36">
        <v>20200</v>
      </c>
      <c r="C20" s="46" t="s">
        <v>717</v>
      </c>
      <c r="D20" s="36" t="s">
        <v>665</v>
      </c>
      <c r="E20" s="46">
        <v>9</v>
      </c>
      <c r="F20" s="65">
        <v>8</v>
      </c>
      <c r="G20" s="46">
        <v>2</v>
      </c>
      <c r="H20" s="46">
        <v>130000</v>
      </c>
      <c r="I20" s="46">
        <v>72</v>
      </c>
      <c r="J20" s="46" t="s">
        <v>267</v>
      </c>
    </row>
    <row r="21" spans="1:10">
      <c r="A21" s="36">
        <v>20210</v>
      </c>
      <c r="B21" s="36">
        <v>20200</v>
      </c>
      <c r="C21" s="46" t="s">
        <v>717</v>
      </c>
      <c r="D21" s="36" t="s">
        <v>665</v>
      </c>
      <c r="E21" s="46">
        <v>10</v>
      </c>
      <c r="F21" s="65">
        <v>9</v>
      </c>
      <c r="G21" s="46">
        <v>2</v>
      </c>
      <c r="H21" s="46">
        <v>0</v>
      </c>
      <c r="I21" s="46">
        <v>0</v>
      </c>
      <c r="J21" s="46" t="s">
        <v>267</v>
      </c>
    </row>
    <row r="22" spans="1:10">
      <c r="A22" s="36">
        <v>20301</v>
      </c>
      <c r="B22" s="36">
        <v>20300</v>
      </c>
      <c r="C22" s="46" t="s">
        <v>717</v>
      </c>
      <c r="D22" s="36" t="s">
        <v>668</v>
      </c>
      <c r="E22" s="46">
        <v>1</v>
      </c>
      <c r="F22" s="65">
        <v>4</v>
      </c>
      <c r="G22" s="46">
        <v>2</v>
      </c>
      <c r="H22" s="46">
        <v>3000</v>
      </c>
      <c r="I22" s="46">
        <v>12</v>
      </c>
      <c r="J22" s="46" t="s">
        <v>267</v>
      </c>
    </row>
    <row r="23" spans="1:10">
      <c r="A23" s="36">
        <v>20302</v>
      </c>
      <c r="B23" s="36">
        <v>20300</v>
      </c>
      <c r="C23" s="46" t="s">
        <v>717</v>
      </c>
      <c r="D23" s="36" t="s">
        <v>668</v>
      </c>
      <c r="E23" s="46">
        <v>2</v>
      </c>
      <c r="F23" s="65">
        <v>4</v>
      </c>
      <c r="G23" s="46">
        <v>2</v>
      </c>
      <c r="H23" s="46">
        <v>8000</v>
      </c>
      <c r="I23" s="46">
        <v>16</v>
      </c>
      <c r="J23" s="46" t="s">
        <v>267</v>
      </c>
    </row>
    <row r="24" spans="1:10">
      <c r="A24" s="36">
        <v>20303</v>
      </c>
      <c r="B24" s="36">
        <v>20300</v>
      </c>
      <c r="C24" s="46" t="s">
        <v>717</v>
      </c>
      <c r="D24" s="36" t="s">
        <v>668</v>
      </c>
      <c r="E24" s="46">
        <v>3</v>
      </c>
      <c r="F24" s="65">
        <v>5</v>
      </c>
      <c r="G24" s="46">
        <v>2</v>
      </c>
      <c r="H24" s="46">
        <v>15000</v>
      </c>
      <c r="I24" s="46">
        <v>24</v>
      </c>
      <c r="J24" s="46" t="s">
        <v>267</v>
      </c>
    </row>
    <row r="25" spans="1:10">
      <c r="A25" s="36">
        <v>20304</v>
      </c>
      <c r="B25" s="36">
        <v>20300</v>
      </c>
      <c r="C25" s="46" t="s">
        <v>717</v>
      </c>
      <c r="D25" s="36" t="s">
        <v>668</v>
      </c>
      <c r="E25" s="46">
        <v>4</v>
      </c>
      <c r="F25" s="65">
        <v>5</v>
      </c>
      <c r="G25" s="46">
        <v>2</v>
      </c>
      <c r="H25" s="46">
        <v>40000</v>
      </c>
      <c r="I25" s="46">
        <v>32</v>
      </c>
      <c r="J25" s="46" t="s">
        <v>267</v>
      </c>
    </row>
    <row r="26" spans="1:10">
      <c r="A26" s="36">
        <v>20305</v>
      </c>
      <c r="B26" s="36">
        <v>20300</v>
      </c>
      <c r="C26" s="46" t="s">
        <v>717</v>
      </c>
      <c r="D26" s="36" t="s">
        <v>668</v>
      </c>
      <c r="E26" s="46">
        <v>5</v>
      </c>
      <c r="F26" s="65">
        <v>6</v>
      </c>
      <c r="G26" s="46">
        <v>2</v>
      </c>
      <c r="H26" s="46">
        <v>60000</v>
      </c>
      <c r="I26" s="46">
        <v>48</v>
      </c>
      <c r="J26" s="46" t="s">
        <v>267</v>
      </c>
    </row>
    <row r="27" spans="1:10">
      <c r="A27" s="36">
        <v>20306</v>
      </c>
      <c r="B27" s="36">
        <v>20300</v>
      </c>
      <c r="C27" s="46" t="s">
        <v>717</v>
      </c>
      <c r="D27" s="36" t="s">
        <v>668</v>
      </c>
      <c r="E27" s="46">
        <v>6</v>
      </c>
      <c r="F27" s="65">
        <v>7</v>
      </c>
      <c r="G27" s="46">
        <v>2</v>
      </c>
      <c r="H27" s="46">
        <v>100000</v>
      </c>
      <c r="I27" s="46">
        <v>60</v>
      </c>
      <c r="J27" s="46" t="s">
        <v>267</v>
      </c>
    </row>
    <row r="28" spans="1:10">
      <c r="A28" s="36">
        <v>20307</v>
      </c>
      <c r="B28" s="36">
        <v>20300</v>
      </c>
      <c r="C28" s="46" t="s">
        <v>717</v>
      </c>
      <c r="D28" s="36" t="s">
        <v>668</v>
      </c>
      <c r="E28" s="46">
        <v>7</v>
      </c>
      <c r="F28" s="65">
        <v>8</v>
      </c>
      <c r="G28" s="46">
        <v>2</v>
      </c>
      <c r="H28" s="46">
        <v>130000</v>
      </c>
      <c r="I28" s="46">
        <v>84</v>
      </c>
      <c r="J28" s="46" t="s">
        <v>267</v>
      </c>
    </row>
    <row r="29" spans="1:10">
      <c r="A29" s="36">
        <v>20308</v>
      </c>
      <c r="B29" s="36">
        <v>20300</v>
      </c>
      <c r="C29" s="46" t="s">
        <v>717</v>
      </c>
      <c r="D29" s="36" t="s">
        <v>668</v>
      </c>
      <c r="E29" s="46">
        <v>8</v>
      </c>
      <c r="F29" s="65">
        <v>9</v>
      </c>
      <c r="G29" s="46">
        <v>2</v>
      </c>
      <c r="H29" s="46">
        <v>250000</v>
      </c>
      <c r="I29" s="46">
        <v>108</v>
      </c>
      <c r="J29" s="46" t="s">
        <v>267</v>
      </c>
    </row>
    <row r="30" spans="1:10">
      <c r="A30" s="36">
        <v>20401</v>
      </c>
      <c r="B30" s="36">
        <v>20400</v>
      </c>
      <c r="C30" s="46" t="s">
        <v>717</v>
      </c>
      <c r="D30" s="36" t="s">
        <v>671</v>
      </c>
      <c r="E30" s="46">
        <v>1</v>
      </c>
      <c r="F30" s="65">
        <v>4</v>
      </c>
      <c r="G30" s="46">
        <v>2</v>
      </c>
      <c r="H30" s="46">
        <v>3000</v>
      </c>
      <c r="I30" s="46">
        <v>6</v>
      </c>
      <c r="J30" s="46" t="s">
        <v>267</v>
      </c>
    </row>
    <row r="31" spans="1:10">
      <c r="A31" s="36">
        <v>20402</v>
      </c>
      <c r="B31" s="36">
        <v>20400</v>
      </c>
      <c r="C31" s="46" t="s">
        <v>717</v>
      </c>
      <c r="D31" s="36" t="s">
        <v>671</v>
      </c>
      <c r="E31" s="46">
        <v>2</v>
      </c>
      <c r="F31" s="65">
        <v>5</v>
      </c>
      <c r="G31" s="46">
        <v>2</v>
      </c>
      <c r="H31" s="46">
        <v>7000</v>
      </c>
      <c r="I31" s="46">
        <v>8</v>
      </c>
      <c r="J31" s="46" t="s">
        <v>267</v>
      </c>
    </row>
    <row r="32" spans="1:10">
      <c r="A32" s="36">
        <v>20403</v>
      </c>
      <c r="B32" s="36">
        <v>20400</v>
      </c>
      <c r="C32" s="46" t="s">
        <v>717</v>
      </c>
      <c r="D32" s="36" t="s">
        <v>671</v>
      </c>
      <c r="E32" s="46">
        <v>3</v>
      </c>
      <c r="F32" s="65">
        <v>5</v>
      </c>
      <c r="G32" s="46">
        <v>2</v>
      </c>
      <c r="H32" s="46">
        <v>15000</v>
      </c>
      <c r="I32" s="46">
        <v>12</v>
      </c>
      <c r="J32" s="46" t="s">
        <v>267</v>
      </c>
    </row>
    <row r="33" spans="1:10">
      <c r="A33" s="36">
        <v>20404</v>
      </c>
      <c r="B33" s="36">
        <v>20400</v>
      </c>
      <c r="C33" s="46" t="s">
        <v>717</v>
      </c>
      <c r="D33" s="36" t="s">
        <v>671</v>
      </c>
      <c r="E33" s="46">
        <v>4</v>
      </c>
      <c r="F33" s="65">
        <v>6</v>
      </c>
      <c r="G33" s="46">
        <v>2</v>
      </c>
      <c r="H33" s="46">
        <v>22000</v>
      </c>
      <c r="I33" s="46">
        <v>16</v>
      </c>
      <c r="J33" s="46" t="s">
        <v>267</v>
      </c>
    </row>
    <row r="34" spans="1:10">
      <c r="A34" s="36">
        <v>20405</v>
      </c>
      <c r="B34" s="36">
        <v>20400</v>
      </c>
      <c r="C34" s="46" t="s">
        <v>717</v>
      </c>
      <c r="D34" s="36" t="s">
        <v>671</v>
      </c>
      <c r="E34" s="46">
        <v>5</v>
      </c>
      <c r="F34" s="65">
        <v>6</v>
      </c>
      <c r="G34" s="46">
        <v>2</v>
      </c>
      <c r="H34" s="46">
        <v>30000</v>
      </c>
      <c r="I34" s="46">
        <v>24</v>
      </c>
      <c r="J34" s="46" t="s">
        <v>267</v>
      </c>
    </row>
    <row r="35" spans="1:10">
      <c r="A35" s="36">
        <v>20406</v>
      </c>
      <c r="B35" s="36">
        <v>20400</v>
      </c>
      <c r="C35" s="46" t="s">
        <v>717</v>
      </c>
      <c r="D35" s="36" t="s">
        <v>671</v>
      </c>
      <c r="E35" s="46">
        <v>6</v>
      </c>
      <c r="F35" s="65">
        <v>7</v>
      </c>
      <c r="G35" s="46">
        <v>2</v>
      </c>
      <c r="H35" s="46">
        <v>50000</v>
      </c>
      <c r="I35" s="46">
        <v>36</v>
      </c>
      <c r="J35" s="46" t="s">
        <v>267</v>
      </c>
    </row>
    <row r="36" spans="1:10">
      <c r="A36" s="36">
        <v>20407</v>
      </c>
      <c r="B36" s="36">
        <v>20400</v>
      </c>
      <c r="C36" s="46" t="s">
        <v>717</v>
      </c>
      <c r="D36" s="36" t="s">
        <v>671</v>
      </c>
      <c r="E36" s="46">
        <v>7</v>
      </c>
      <c r="F36" s="65">
        <v>7</v>
      </c>
      <c r="G36" s="46">
        <v>2</v>
      </c>
      <c r="H36" s="46">
        <v>70000</v>
      </c>
      <c r="I36" s="46">
        <v>48</v>
      </c>
      <c r="J36" s="46" t="s">
        <v>267</v>
      </c>
    </row>
    <row r="37" spans="1:10">
      <c r="A37" s="36">
        <v>20408</v>
      </c>
      <c r="B37" s="36">
        <v>20400</v>
      </c>
      <c r="C37" s="46" t="s">
        <v>717</v>
      </c>
      <c r="D37" s="36" t="s">
        <v>671</v>
      </c>
      <c r="E37" s="46">
        <v>8</v>
      </c>
      <c r="F37" s="65">
        <v>8</v>
      </c>
      <c r="G37" s="46">
        <v>2</v>
      </c>
      <c r="H37" s="46">
        <v>90000</v>
      </c>
      <c r="I37" s="46">
        <v>91</v>
      </c>
      <c r="J37" s="46" t="s">
        <v>267</v>
      </c>
    </row>
    <row r="38" spans="1:10">
      <c r="A38" s="36">
        <v>20409</v>
      </c>
      <c r="B38" s="36">
        <v>20400</v>
      </c>
      <c r="C38" s="46" t="s">
        <v>717</v>
      </c>
      <c r="D38" s="36" t="s">
        <v>671</v>
      </c>
      <c r="E38" s="46">
        <v>9</v>
      </c>
      <c r="F38" s="65">
        <v>8</v>
      </c>
      <c r="G38" s="46">
        <v>2</v>
      </c>
      <c r="H38" s="46">
        <v>110000</v>
      </c>
      <c r="I38" s="46">
        <v>115</v>
      </c>
      <c r="J38" s="46" t="s">
        <v>267</v>
      </c>
    </row>
    <row r="39" spans="1:10">
      <c r="A39" s="36">
        <v>20410</v>
      </c>
      <c r="B39" s="36">
        <v>20400</v>
      </c>
      <c r="C39" s="46" t="s">
        <v>717</v>
      </c>
      <c r="D39" s="36" t="s">
        <v>671</v>
      </c>
      <c r="E39" s="46">
        <v>10</v>
      </c>
      <c r="F39" s="65">
        <v>9</v>
      </c>
      <c r="G39" s="46">
        <v>2</v>
      </c>
      <c r="H39" s="46">
        <v>0</v>
      </c>
      <c r="I39" s="46">
        <v>0</v>
      </c>
      <c r="J39" s="46" t="s">
        <v>267</v>
      </c>
    </row>
    <row r="40" spans="1:10">
      <c r="A40" s="36">
        <v>20501</v>
      </c>
      <c r="B40" s="36">
        <v>20500</v>
      </c>
      <c r="C40" s="46" t="s">
        <v>717</v>
      </c>
      <c r="D40" s="36" t="s">
        <v>674</v>
      </c>
      <c r="E40" s="46">
        <v>1</v>
      </c>
      <c r="F40" s="65">
        <v>6</v>
      </c>
      <c r="G40" s="46">
        <v>2</v>
      </c>
      <c r="H40" s="46">
        <v>20000</v>
      </c>
      <c r="I40" s="46">
        <v>16</v>
      </c>
      <c r="J40" s="46" t="s">
        <v>267</v>
      </c>
    </row>
    <row r="41" spans="1:10">
      <c r="A41" s="36">
        <v>20502</v>
      </c>
      <c r="B41" s="36">
        <v>20500</v>
      </c>
      <c r="C41" s="46" t="s">
        <v>717</v>
      </c>
      <c r="D41" s="36" t="s">
        <v>674</v>
      </c>
      <c r="E41" s="46">
        <v>2</v>
      </c>
      <c r="F41" s="65">
        <v>6</v>
      </c>
      <c r="G41" s="46">
        <v>2</v>
      </c>
      <c r="H41" s="46">
        <v>30000</v>
      </c>
      <c r="I41" s="46">
        <v>24</v>
      </c>
      <c r="J41" s="46" t="s">
        <v>267</v>
      </c>
    </row>
    <row r="42" spans="1:10">
      <c r="A42" s="36">
        <v>20503</v>
      </c>
      <c r="B42" s="36">
        <v>20500</v>
      </c>
      <c r="C42" s="46" t="s">
        <v>717</v>
      </c>
      <c r="D42" s="36" t="s">
        <v>674</v>
      </c>
      <c r="E42" s="46">
        <v>3</v>
      </c>
      <c r="F42" s="65">
        <v>7</v>
      </c>
      <c r="G42" s="46">
        <v>2</v>
      </c>
      <c r="H42" s="46">
        <v>100000</v>
      </c>
      <c r="I42" s="46">
        <v>32</v>
      </c>
      <c r="J42" s="46" t="s">
        <v>267</v>
      </c>
    </row>
    <row r="43" spans="1:10">
      <c r="A43" s="36">
        <v>20504</v>
      </c>
      <c r="B43" s="36">
        <v>20500</v>
      </c>
      <c r="C43" s="46" t="s">
        <v>717</v>
      </c>
      <c r="D43" s="36" t="s">
        <v>674</v>
      </c>
      <c r="E43" s="46">
        <v>4</v>
      </c>
      <c r="F43" s="65">
        <v>8</v>
      </c>
      <c r="G43" s="46">
        <v>2</v>
      </c>
      <c r="H43" s="46">
        <v>0</v>
      </c>
      <c r="I43" s="46">
        <v>0</v>
      </c>
      <c r="J43" s="46" t="s">
        <v>267</v>
      </c>
    </row>
    <row r="44" spans="1:10">
      <c r="A44" s="36">
        <v>20601</v>
      </c>
      <c r="B44" s="36">
        <v>20600</v>
      </c>
      <c r="C44" s="46" t="s">
        <v>717</v>
      </c>
      <c r="D44" s="36" t="s">
        <v>677</v>
      </c>
      <c r="E44" s="46">
        <v>1</v>
      </c>
      <c r="F44" s="65">
        <v>5</v>
      </c>
      <c r="G44" s="46">
        <v>2</v>
      </c>
      <c r="H44" s="46">
        <v>20000</v>
      </c>
      <c r="I44" s="46">
        <v>24</v>
      </c>
      <c r="J44" s="46" t="s">
        <v>267</v>
      </c>
    </row>
    <row r="45" spans="1:10">
      <c r="A45" s="36">
        <v>20602</v>
      </c>
      <c r="B45" s="36">
        <v>20600</v>
      </c>
      <c r="C45" s="46" t="s">
        <v>717</v>
      </c>
      <c r="D45" s="36" t="s">
        <v>677</v>
      </c>
      <c r="E45" s="46">
        <v>2</v>
      </c>
      <c r="F45" s="65">
        <v>6</v>
      </c>
      <c r="G45" s="46">
        <v>2</v>
      </c>
      <c r="H45" s="46">
        <v>40000</v>
      </c>
      <c r="I45" s="46">
        <v>32</v>
      </c>
      <c r="J45" s="46" t="s">
        <v>267</v>
      </c>
    </row>
    <row r="46" spans="1:10">
      <c r="A46" s="36">
        <v>20603</v>
      </c>
      <c r="B46" s="36">
        <v>20600</v>
      </c>
      <c r="C46" s="46" t="s">
        <v>717</v>
      </c>
      <c r="D46" s="36" t="s">
        <v>677</v>
      </c>
      <c r="E46" s="46">
        <v>3</v>
      </c>
      <c r="F46" s="65">
        <v>7</v>
      </c>
      <c r="G46" s="46">
        <v>2</v>
      </c>
      <c r="H46" s="46">
        <v>100000</v>
      </c>
      <c r="I46" s="46">
        <v>72</v>
      </c>
      <c r="J46" s="46" t="s">
        <v>267</v>
      </c>
    </row>
    <row r="47" spans="1:10">
      <c r="A47" s="36">
        <v>20604</v>
      </c>
      <c r="B47" s="36">
        <v>20600</v>
      </c>
      <c r="C47" s="46" t="s">
        <v>717</v>
      </c>
      <c r="D47" s="36" t="s">
        <v>677</v>
      </c>
      <c r="E47" s="46">
        <v>4</v>
      </c>
      <c r="F47" s="65">
        <v>8</v>
      </c>
      <c r="G47" s="46">
        <v>2</v>
      </c>
      <c r="H47" s="46">
        <v>0</v>
      </c>
      <c r="I47" s="46">
        <v>0</v>
      </c>
      <c r="J47" s="46" t="s">
        <v>267</v>
      </c>
    </row>
    <row r="48" spans="1:10">
      <c r="A48" s="36">
        <v>20701</v>
      </c>
      <c r="B48" s="36">
        <v>20700</v>
      </c>
      <c r="C48" s="46" t="s">
        <v>717</v>
      </c>
      <c r="D48" s="36" t="s">
        <v>680</v>
      </c>
      <c r="E48" s="46">
        <v>1</v>
      </c>
      <c r="F48" s="65">
        <v>5</v>
      </c>
      <c r="G48" s="46">
        <v>2</v>
      </c>
      <c r="H48" s="46">
        <v>22000</v>
      </c>
      <c r="I48" s="46">
        <v>2</v>
      </c>
      <c r="J48" s="46" t="s">
        <v>267</v>
      </c>
    </row>
    <row r="49" spans="1:10">
      <c r="A49" s="36">
        <v>20702</v>
      </c>
      <c r="B49" s="36">
        <v>20700</v>
      </c>
      <c r="C49" s="46" t="s">
        <v>717</v>
      </c>
      <c r="D49" s="36" t="s">
        <v>680</v>
      </c>
      <c r="E49" s="46">
        <v>2</v>
      </c>
      <c r="F49" s="65">
        <v>6</v>
      </c>
      <c r="G49" s="46">
        <v>2</v>
      </c>
      <c r="H49" s="46">
        <v>37000</v>
      </c>
      <c r="I49" s="46">
        <v>6</v>
      </c>
      <c r="J49" s="46" t="s">
        <v>267</v>
      </c>
    </row>
    <row r="50" spans="1:10">
      <c r="A50" s="36">
        <v>20703</v>
      </c>
      <c r="B50" s="36">
        <v>20700</v>
      </c>
      <c r="C50" s="46" t="s">
        <v>717</v>
      </c>
      <c r="D50" s="36" t="s">
        <v>680</v>
      </c>
      <c r="E50" s="46">
        <v>3</v>
      </c>
      <c r="F50" s="65">
        <v>7</v>
      </c>
      <c r="G50" s="46">
        <v>2</v>
      </c>
      <c r="H50" s="46">
        <v>50000</v>
      </c>
      <c r="I50" s="46">
        <v>24</v>
      </c>
      <c r="J50" s="46" t="s">
        <v>267</v>
      </c>
    </row>
    <row r="51" spans="1:10">
      <c r="A51" s="36">
        <v>20704</v>
      </c>
      <c r="B51" s="36">
        <v>20700</v>
      </c>
      <c r="C51" s="46" t="s">
        <v>717</v>
      </c>
      <c r="D51" s="36" t="s">
        <v>680</v>
      </c>
      <c r="E51" s="46">
        <v>4</v>
      </c>
      <c r="F51" s="65">
        <v>7</v>
      </c>
      <c r="G51" s="46">
        <v>2</v>
      </c>
      <c r="H51" s="46">
        <v>90000</v>
      </c>
      <c r="I51" s="46">
        <v>48</v>
      </c>
      <c r="J51" s="46" t="s">
        <v>267</v>
      </c>
    </row>
    <row r="52" spans="1:10">
      <c r="A52" s="36">
        <v>20705</v>
      </c>
      <c r="B52" s="36">
        <v>20700</v>
      </c>
      <c r="C52" s="46" t="s">
        <v>717</v>
      </c>
      <c r="D52" s="36" t="s">
        <v>680</v>
      </c>
      <c r="E52" s="46">
        <v>5</v>
      </c>
      <c r="F52" s="65">
        <v>8</v>
      </c>
      <c r="G52" s="46">
        <v>2</v>
      </c>
      <c r="H52" s="46">
        <v>140000</v>
      </c>
      <c r="I52" s="46">
        <v>72</v>
      </c>
      <c r="J52" s="46" t="s">
        <v>267</v>
      </c>
    </row>
    <row r="53" spans="1:10">
      <c r="A53" s="36">
        <v>20706</v>
      </c>
      <c r="B53" s="36">
        <v>20700</v>
      </c>
      <c r="C53" s="46" t="s">
        <v>717</v>
      </c>
      <c r="D53" s="36" t="s">
        <v>680</v>
      </c>
      <c r="E53" s="46">
        <v>6</v>
      </c>
      <c r="F53" s="65">
        <v>9</v>
      </c>
      <c r="G53" s="46">
        <v>2</v>
      </c>
      <c r="H53" s="46">
        <v>0</v>
      </c>
      <c r="I53" s="46">
        <v>0</v>
      </c>
      <c r="J53" s="46" t="s">
        <v>267</v>
      </c>
    </row>
    <row r="54" spans="1:10">
      <c r="A54" s="36">
        <v>20801</v>
      </c>
      <c r="B54" s="36">
        <v>20800</v>
      </c>
      <c r="C54" s="46" t="s">
        <v>717</v>
      </c>
      <c r="D54" s="36" t="s">
        <v>683</v>
      </c>
      <c r="E54" s="46">
        <v>1</v>
      </c>
      <c r="F54" s="65">
        <v>6</v>
      </c>
      <c r="G54" s="46">
        <v>2</v>
      </c>
      <c r="H54" s="46">
        <v>35000</v>
      </c>
      <c r="I54" s="46">
        <v>6</v>
      </c>
      <c r="J54" s="46" t="s">
        <v>267</v>
      </c>
    </row>
    <row r="55" spans="1:10">
      <c r="A55" s="36">
        <v>20802</v>
      </c>
      <c r="B55" s="36">
        <v>20800</v>
      </c>
      <c r="C55" s="46" t="s">
        <v>717</v>
      </c>
      <c r="D55" s="36" t="s">
        <v>683</v>
      </c>
      <c r="E55" s="46">
        <v>2</v>
      </c>
      <c r="F55" s="65">
        <v>7</v>
      </c>
      <c r="G55" s="46">
        <v>2</v>
      </c>
      <c r="H55" s="46">
        <v>100000</v>
      </c>
      <c r="I55" s="46">
        <v>16</v>
      </c>
      <c r="J55" s="46" t="s">
        <v>267</v>
      </c>
    </row>
    <row r="56" spans="1:10">
      <c r="A56" s="36">
        <v>20803</v>
      </c>
      <c r="B56" s="36">
        <v>20800</v>
      </c>
      <c r="C56" s="46" t="s">
        <v>717</v>
      </c>
      <c r="D56" s="36" t="s">
        <v>683</v>
      </c>
      <c r="E56" s="46">
        <v>3</v>
      </c>
      <c r="F56" s="65">
        <v>8</v>
      </c>
      <c r="G56" s="46">
        <v>2</v>
      </c>
      <c r="H56" s="46">
        <v>170000</v>
      </c>
      <c r="I56" s="46">
        <v>24</v>
      </c>
      <c r="J56" s="46" t="s">
        <v>267</v>
      </c>
    </row>
    <row r="57" spans="1:10">
      <c r="A57" s="36">
        <v>20804</v>
      </c>
      <c r="B57" s="36">
        <v>20800</v>
      </c>
      <c r="C57" s="46" t="s">
        <v>717</v>
      </c>
      <c r="D57" s="36" t="s">
        <v>683</v>
      </c>
      <c r="E57" s="46">
        <v>4</v>
      </c>
      <c r="F57" s="65">
        <v>9</v>
      </c>
      <c r="G57" s="46">
        <v>2</v>
      </c>
      <c r="H57" s="46">
        <v>0</v>
      </c>
      <c r="I57" s="46">
        <v>0</v>
      </c>
      <c r="J57" s="46" t="s">
        <v>267</v>
      </c>
    </row>
    <row r="58" spans="1:10">
      <c r="A58" s="36">
        <v>20901</v>
      </c>
      <c r="B58" s="36">
        <v>20900</v>
      </c>
      <c r="C58" s="46" t="s">
        <v>717</v>
      </c>
      <c r="D58" s="36" t="s">
        <v>713</v>
      </c>
      <c r="E58" s="46">
        <v>1</v>
      </c>
      <c r="F58" s="65">
        <v>7</v>
      </c>
      <c r="G58" s="46">
        <v>2</v>
      </c>
      <c r="H58" s="46">
        <v>40000</v>
      </c>
      <c r="I58" s="46">
        <v>12</v>
      </c>
      <c r="J58" s="46" t="s">
        <v>267</v>
      </c>
    </row>
    <row r="59" spans="1:10">
      <c r="A59" s="36">
        <v>20902</v>
      </c>
      <c r="B59" s="36">
        <v>20900</v>
      </c>
      <c r="C59" s="46" t="s">
        <v>717</v>
      </c>
      <c r="D59" s="36" t="s">
        <v>713</v>
      </c>
      <c r="E59" s="46">
        <v>2</v>
      </c>
      <c r="F59" s="65">
        <v>8</v>
      </c>
      <c r="G59" s="46">
        <v>2</v>
      </c>
      <c r="H59" s="46">
        <v>100000</v>
      </c>
      <c r="I59" s="46">
        <v>24</v>
      </c>
      <c r="J59" s="46" t="s">
        <v>267</v>
      </c>
    </row>
    <row r="60" spans="1:10">
      <c r="A60" s="36">
        <v>20903</v>
      </c>
      <c r="B60" s="36">
        <v>20900</v>
      </c>
      <c r="C60" s="46" t="s">
        <v>717</v>
      </c>
      <c r="D60" s="36" t="s">
        <v>713</v>
      </c>
      <c r="E60" s="46">
        <v>3</v>
      </c>
      <c r="F60" s="65">
        <v>9</v>
      </c>
      <c r="G60" s="46">
        <v>2</v>
      </c>
      <c r="H60" s="46">
        <v>0</v>
      </c>
      <c r="I60" s="46">
        <v>0</v>
      </c>
      <c r="J60" s="46" t="s">
        <v>267</v>
      </c>
    </row>
    <row r="61" spans="1:10">
      <c r="A61" s="36">
        <v>21001</v>
      </c>
      <c r="B61" s="36">
        <v>21000</v>
      </c>
      <c r="C61" s="46" t="s">
        <v>717</v>
      </c>
      <c r="D61" s="36" t="s">
        <v>690</v>
      </c>
      <c r="E61" s="46">
        <v>1</v>
      </c>
      <c r="F61" s="65">
        <v>8</v>
      </c>
      <c r="G61" s="46">
        <v>3</v>
      </c>
      <c r="H61" s="46">
        <v>1500</v>
      </c>
      <c r="I61" s="46">
        <v>32</v>
      </c>
      <c r="J61" s="46" t="s">
        <v>267</v>
      </c>
    </row>
    <row r="62" spans="1:10">
      <c r="A62" s="36">
        <v>21002</v>
      </c>
      <c r="B62" s="36">
        <v>21000</v>
      </c>
      <c r="C62" s="46" t="s">
        <v>717</v>
      </c>
      <c r="D62" s="36" t="s">
        <v>690</v>
      </c>
      <c r="E62" s="46">
        <v>2</v>
      </c>
      <c r="F62" s="65">
        <v>8</v>
      </c>
      <c r="G62" s="46">
        <v>3</v>
      </c>
      <c r="H62" s="46">
        <v>10000</v>
      </c>
      <c r="I62" s="46">
        <v>72</v>
      </c>
      <c r="J62" s="46" t="s">
        <v>267</v>
      </c>
    </row>
    <row r="63" spans="1:10">
      <c r="A63" s="36">
        <v>21003</v>
      </c>
      <c r="B63" s="36">
        <v>21000</v>
      </c>
      <c r="C63" s="46" t="s">
        <v>717</v>
      </c>
      <c r="D63" s="36" t="s">
        <v>690</v>
      </c>
      <c r="E63" s="46">
        <v>3</v>
      </c>
      <c r="F63" s="65">
        <v>9</v>
      </c>
      <c r="G63" s="46">
        <v>3</v>
      </c>
      <c r="H63" s="46">
        <v>0</v>
      </c>
      <c r="I63" s="46">
        <v>0</v>
      </c>
      <c r="J63" s="46" t="s">
        <v>267</v>
      </c>
    </row>
    <row r="64" spans="1:10">
      <c r="A64" s="36">
        <v>21101</v>
      </c>
      <c r="B64" s="36">
        <v>21100</v>
      </c>
      <c r="C64" s="46" t="s">
        <v>717</v>
      </c>
      <c r="D64" s="36" t="s">
        <v>694</v>
      </c>
      <c r="E64" s="46">
        <v>1</v>
      </c>
      <c r="F64" s="65">
        <v>8</v>
      </c>
      <c r="G64" s="46">
        <v>3</v>
      </c>
      <c r="H64" s="46">
        <v>2000</v>
      </c>
      <c r="I64" s="46">
        <v>24</v>
      </c>
      <c r="J64" s="46" t="s">
        <v>267</v>
      </c>
    </row>
    <row r="65" spans="1:10">
      <c r="A65" s="36">
        <v>21102</v>
      </c>
      <c r="B65" s="36">
        <v>21100</v>
      </c>
      <c r="C65" s="46" t="s">
        <v>717</v>
      </c>
      <c r="D65" s="36" t="s">
        <v>694</v>
      </c>
      <c r="E65" s="46">
        <v>2</v>
      </c>
      <c r="F65" s="65">
        <v>8</v>
      </c>
      <c r="G65" s="46">
        <v>3</v>
      </c>
      <c r="H65" s="46">
        <v>15000</v>
      </c>
      <c r="I65" s="46">
        <v>48</v>
      </c>
      <c r="J65" s="46" t="s">
        <v>267</v>
      </c>
    </row>
    <row r="66" spans="1:10">
      <c r="A66" s="36">
        <v>21103</v>
      </c>
      <c r="B66" s="36">
        <v>21100</v>
      </c>
      <c r="C66" s="46" t="s">
        <v>717</v>
      </c>
      <c r="D66" s="36" t="s">
        <v>694</v>
      </c>
      <c r="E66" s="46">
        <v>3</v>
      </c>
      <c r="F66" s="65">
        <v>9</v>
      </c>
      <c r="G66" s="46">
        <v>3</v>
      </c>
      <c r="H66" s="46">
        <v>0</v>
      </c>
      <c r="I66" s="46">
        <v>0</v>
      </c>
      <c r="J66" s="46" t="s">
        <v>267</v>
      </c>
    </row>
    <row r="67" spans="1:10">
      <c r="A67" s="36">
        <v>21201</v>
      </c>
      <c r="B67" s="36">
        <v>21200</v>
      </c>
      <c r="C67" s="46" t="s">
        <v>717</v>
      </c>
      <c r="D67" s="36" t="s">
        <v>697</v>
      </c>
      <c r="E67" s="46">
        <v>1</v>
      </c>
      <c r="F67" s="65">
        <v>8</v>
      </c>
      <c r="G67" s="46">
        <v>3</v>
      </c>
      <c r="H67" s="46">
        <v>10000</v>
      </c>
      <c r="I67" s="46">
        <v>91</v>
      </c>
      <c r="J67" s="46" t="s">
        <v>267</v>
      </c>
    </row>
    <row r="68" spans="1:10">
      <c r="A68" s="36">
        <v>21202</v>
      </c>
      <c r="B68" s="36">
        <v>21200</v>
      </c>
      <c r="C68" s="46" t="s">
        <v>717</v>
      </c>
      <c r="D68" s="36" t="s">
        <v>697</v>
      </c>
      <c r="E68" s="46">
        <v>2</v>
      </c>
      <c r="F68" s="65">
        <v>9</v>
      </c>
      <c r="G68" s="46">
        <v>3</v>
      </c>
      <c r="H68" s="46">
        <v>0</v>
      </c>
      <c r="I68" s="46">
        <v>0</v>
      </c>
      <c r="J68" s="46" t="s">
        <v>267</v>
      </c>
    </row>
    <row r="69" spans="1:10">
      <c r="A69" s="46">
        <v>30001</v>
      </c>
      <c r="B69" s="46">
        <v>30000</v>
      </c>
      <c r="C69" s="31" t="s">
        <v>718</v>
      </c>
      <c r="D69" s="46" t="s">
        <v>719</v>
      </c>
      <c r="E69" s="46">
        <v>1</v>
      </c>
      <c r="F69" s="65">
        <v>2</v>
      </c>
      <c r="G69" s="46">
        <v>2</v>
      </c>
      <c r="H69" s="46">
        <v>1000</v>
      </c>
      <c r="I69" s="46">
        <v>1</v>
      </c>
      <c r="J69" s="46" t="s">
        <v>267</v>
      </c>
    </row>
    <row r="70" spans="1:10">
      <c r="A70" s="46">
        <v>30002</v>
      </c>
      <c r="B70" s="46">
        <v>30000</v>
      </c>
      <c r="C70" s="31" t="s">
        <v>718</v>
      </c>
      <c r="D70" s="46" t="s">
        <v>719</v>
      </c>
      <c r="E70" s="46">
        <v>2</v>
      </c>
      <c r="F70" s="65">
        <v>2</v>
      </c>
      <c r="G70" s="46">
        <v>2</v>
      </c>
      <c r="H70" s="46">
        <v>0</v>
      </c>
      <c r="I70" s="46">
        <v>2</v>
      </c>
      <c r="J70" s="46" t="s">
        <v>267</v>
      </c>
    </row>
  </sheetData>
  <phoneticPr fontId="3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L2"/>
  <sheetViews>
    <sheetView workbookViewId="0">
      <selection activeCell="B1" sqref="B1"/>
    </sheetView>
  </sheetViews>
  <sheetFormatPr defaultRowHeight="16.5"/>
  <cols>
    <col min="1" max="1" width="25.5" style="48" bestFit="1" customWidth="1"/>
    <col min="2" max="2" width="14.5" style="48" customWidth="1"/>
    <col min="3" max="3" width="15.875" style="48" bestFit="1" customWidth="1"/>
    <col min="4" max="4" width="21.625" style="48" customWidth="1"/>
    <col min="5" max="5" width="10.875" style="48" bestFit="1" customWidth="1"/>
    <col min="6" max="6" width="12.625" style="48" bestFit="1" customWidth="1"/>
    <col min="7" max="7" width="19.375" style="48" bestFit="1" customWidth="1"/>
    <col min="8" max="9" width="19.375" style="48" customWidth="1"/>
    <col min="10" max="10" width="13.375" style="48" bestFit="1" customWidth="1"/>
    <col min="11" max="11" width="29.875" style="48" bestFit="1" customWidth="1"/>
    <col min="12" max="16384" width="9" style="48"/>
  </cols>
  <sheetData>
    <row r="1" spans="1:12">
      <c r="A1" s="38" t="s">
        <v>720</v>
      </c>
      <c r="B1" s="38" t="s">
        <v>1162</v>
      </c>
      <c r="C1" s="38" t="s">
        <v>644</v>
      </c>
      <c r="D1" s="66" t="s">
        <v>721</v>
      </c>
      <c r="E1" s="34" t="s">
        <v>722</v>
      </c>
      <c r="F1" s="38" t="s">
        <v>723</v>
      </c>
      <c r="G1" s="38" t="s">
        <v>724</v>
      </c>
      <c r="H1" s="67" t="s">
        <v>725</v>
      </c>
      <c r="I1" s="67" t="s">
        <v>726</v>
      </c>
      <c r="J1" s="38" t="s">
        <v>727</v>
      </c>
      <c r="K1" s="38" t="s">
        <v>123</v>
      </c>
      <c r="L1" s="38" t="s">
        <v>297</v>
      </c>
    </row>
    <row r="2" spans="1:12">
      <c r="A2" s="46">
        <v>30000</v>
      </c>
      <c r="B2" s="46" t="s">
        <v>728</v>
      </c>
      <c r="C2" s="46">
        <v>30001</v>
      </c>
      <c r="D2" s="46">
        <v>1</v>
      </c>
      <c r="E2" s="36" t="s">
        <v>729</v>
      </c>
      <c r="F2" s="46">
        <v>2</v>
      </c>
      <c r="G2" s="46">
        <v>2</v>
      </c>
      <c r="H2" s="46">
        <v>1</v>
      </c>
      <c r="I2" s="46">
        <v>2</v>
      </c>
      <c r="J2" s="46">
        <v>2</v>
      </c>
      <c r="K2" s="46" t="s">
        <v>730</v>
      </c>
      <c r="L2" s="46">
        <v>30000</v>
      </c>
    </row>
  </sheetData>
  <phoneticPr fontId="3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"/>
  <sheetViews>
    <sheetView workbookViewId="0">
      <selection activeCell="D1" sqref="D1"/>
    </sheetView>
  </sheetViews>
  <sheetFormatPr defaultRowHeight="16.5"/>
  <cols>
    <col min="1" max="1" width="12.75" style="48" customWidth="1"/>
    <col min="2" max="2" width="25.25" style="48" bestFit="1" customWidth="1"/>
    <col min="3" max="4" width="9" style="48"/>
    <col min="5" max="5" width="11.875" style="48" customWidth="1"/>
    <col min="6" max="6" width="12.875" style="48" bestFit="1" customWidth="1"/>
    <col min="7" max="7" width="14.25" style="48" bestFit="1" customWidth="1"/>
    <col min="8" max="8" width="12.25" style="48" bestFit="1" customWidth="1"/>
    <col min="9" max="9" width="15.25" style="48" bestFit="1" customWidth="1"/>
    <col min="10" max="10" width="15.25" style="48" customWidth="1"/>
    <col min="11" max="11" width="12.875" style="48" bestFit="1" customWidth="1"/>
    <col min="12" max="12" width="14.25" style="48" bestFit="1" customWidth="1"/>
    <col min="13" max="16384" width="9" style="48"/>
  </cols>
  <sheetData>
    <row r="1" spans="1:13">
      <c r="A1" s="38" t="s">
        <v>569</v>
      </c>
      <c r="B1" s="38" t="s">
        <v>720</v>
      </c>
      <c r="C1" s="38" t="s">
        <v>731</v>
      </c>
      <c r="D1" s="38" t="s">
        <v>1162</v>
      </c>
      <c r="E1" s="38" t="s">
        <v>349</v>
      </c>
      <c r="F1" s="38" t="s">
        <v>350</v>
      </c>
      <c r="G1" s="38" t="s">
        <v>732</v>
      </c>
      <c r="H1" s="38" t="s">
        <v>733</v>
      </c>
      <c r="I1" s="38" t="s">
        <v>734</v>
      </c>
      <c r="J1" s="34" t="s">
        <v>709</v>
      </c>
      <c r="K1" s="38" t="s">
        <v>735</v>
      </c>
      <c r="L1" s="38" t="s">
        <v>736</v>
      </c>
      <c r="M1" s="38" t="s">
        <v>262</v>
      </c>
    </row>
    <row r="2" spans="1:13">
      <c r="A2" s="46">
        <v>30001</v>
      </c>
      <c r="B2" s="46">
        <v>30000</v>
      </c>
      <c r="C2" s="46">
        <v>1</v>
      </c>
      <c r="D2" s="46" t="s">
        <v>719</v>
      </c>
      <c r="E2" s="46">
        <v>4</v>
      </c>
      <c r="F2" s="46">
        <v>2</v>
      </c>
      <c r="G2" s="46">
        <v>0</v>
      </c>
      <c r="H2" s="46">
        <v>50</v>
      </c>
      <c r="I2" s="46">
        <v>6</v>
      </c>
      <c r="J2" s="46">
        <v>2</v>
      </c>
      <c r="K2" s="46">
        <v>5</v>
      </c>
      <c r="L2" s="46">
        <v>1000</v>
      </c>
      <c r="M2" s="46" t="s">
        <v>526</v>
      </c>
    </row>
    <row r="3" spans="1:13">
      <c r="A3" s="46">
        <v>30002</v>
      </c>
      <c r="B3" s="46">
        <v>30000</v>
      </c>
      <c r="C3" s="46">
        <v>2</v>
      </c>
      <c r="D3" s="46" t="s">
        <v>719</v>
      </c>
      <c r="E3" s="46">
        <v>4</v>
      </c>
      <c r="F3" s="46">
        <v>2</v>
      </c>
      <c r="G3" s="46">
        <v>0</v>
      </c>
      <c r="H3" s="46">
        <v>55</v>
      </c>
      <c r="I3" s="46">
        <v>6</v>
      </c>
      <c r="J3" s="46">
        <v>2</v>
      </c>
      <c r="K3" s="46">
        <v>10</v>
      </c>
      <c r="L3" s="46">
        <v>2000</v>
      </c>
      <c r="M3" s="46" t="s">
        <v>526</v>
      </c>
    </row>
  </sheetData>
  <phoneticPr fontId="3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G5"/>
  <sheetViews>
    <sheetView workbookViewId="0">
      <selection activeCell="G1" sqref="G1"/>
    </sheetView>
  </sheetViews>
  <sheetFormatPr defaultRowHeight="16.5"/>
  <cols>
    <col min="1" max="1" width="10.125" style="48" bestFit="1" customWidth="1"/>
    <col min="2" max="2" width="18.625" style="48" bestFit="1" customWidth="1"/>
    <col min="3" max="3" width="15.375" style="48" bestFit="1" customWidth="1"/>
    <col min="4" max="4" width="9.5" style="48" bestFit="1" customWidth="1"/>
    <col min="5" max="5" width="21.5" style="48" bestFit="1" customWidth="1"/>
    <col min="6" max="6" width="21.75" style="48" bestFit="1" customWidth="1"/>
    <col min="7" max="16384" width="9" style="48"/>
  </cols>
  <sheetData>
    <row r="1" spans="1:7">
      <c r="A1" s="38" t="s">
        <v>737</v>
      </c>
      <c r="B1" s="38" t="s">
        <v>738</v>
      </c>
      <c r="C1" s="38" t="s">
        <v>739</v>
      </c>
      <c r="D1" s="38" t="s">
        <v>740</v>
      </c>
      <c r="E1" s="38" t="s">
        <v>741</v>
      </c>
      <c r="F1" s="38" t="s">
        <v>742</v>
      </c>
      <c r="G1" s="38" t="s">
        <v>262</v>
      </c>
    </row>
    <row r="2" spans="1:7">
      <c r="A2" s="46">
        <v>1</v>
      </c>
      <c r="B2" s="46">
        <v>1</v>
      </c>
      <c r="C2" s="46">
        <v>20</v>
      </c>
      <c r="D2" s="46">
        <v>1</v>
      </c>
      <c r="E2" s="46">
        <v>2</v>
      </c>
      <c r="F2" s="46">
        <v>20</v>
      </c>
      <c r="G2" s="46" t="s">
        <v>526</v>
      </c>
    </row>
    <row r="3" spans="1:7">
      <c r="A3" s="46">
        <v>2</v>
      </c>
      <c r="B3" s="46">
        <v>2</v>
      </c>
      <c r="C3" s="46">
        <v>30</v>
      </c>
      <c r="D3" s="46">
        <v>1</v>
      </c>
      <c r="E3" s="46">
        <v>50</v>
      </c>
      <c r="F3" s="46">
        <v>100</v>
      </c>
      <c r="G3" s="46" t="s">
        <v>526</v>
      </c>
    </row>
    <row r="4" spans="1:7">
      <c r="A4" s="46">
        <v>3</v>
      </c>
      <c r="B4" s="46">
        <v>3</v>
      </c>
      <c r="C4" s="46">
        <v>60</v>
      </c>
      <c r="D4" s="46">
        <v>1</v>
      </c>
      <c r="E4" s="46">
        <v>200</v>
      </c>
      <c r="F4" s="46">
        <v>600</v>
      </c>
      <c r="G4" s="46" t="s">
        <v>526</v>
      </c>
    </row>
    <row r="5" spans="1:7">
      <c r="A5" s="46">
        <v>4</v>
      </c>
      <c r="B5" s="46">
        <v>4</v>
      </c>
      <c r="C5" s="46">
        <v>90</v>
      </c>
      <c r="D5" s="46">
        <v>1</v>
      </c>
      <c r="E5" s="46">
        <v>400</v>
      </c>
      <c r="F5" s="46">
        <v>800</v>
      </c>
      <c r="G5" s="46" t="s">
        <v>526</v>
      </c>
    </row>
  </sheetData>
  <phoneticPr fontId="3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G184"/>
  <sheetViews>
    <sheetView workbookViewId="0">
      <selection sqref="A1:G184"/>
    </sheetView>
  </sheetViews>
  <sheetFormatPr defaultRowHeight="16.5"/>
  <cols>
    <col min="1" max="2" width="9" style="49"/>
    <col min="3" max="3" width="17.875" style="49" bestFit="1" customWidth="1"/>
    <col min="4" max="4" width="10.875" style="49" bestFit="1" customWidth="1"/>
    <col min="5" max="5" width="16.625" style="49" bestFit="1" customWidth="1"/>
    <col min="6" max="6" width="17.375" style="49" bestFit="1" customWidth="1"/>
    <col min="7" max="7" width="16.25" style="49" bestFit="1" customWidth="1"/>
    <col min="8" max="16384" width="9" style="49"/>
  </cols>
  <sheetData>
    <row r="1" spans="1:7">
      <c r="A1" s="56" t="s">
        <v>743</v>
      </c>
      <c r="B1" s="56" t="s">
        <v>744</v>
      </c>
      <c r="C1" s="56" t="s">
        <v>745</v>
      </c>
      <c r="D1" s="56" t="s">
        <v>746</v>
      </c>
      <c r="E1" s="56" t="s">
        <v>62</v>
      </c>
      <c r="F1" s="56" t="s">
        <v>63</v>
      </c>
      <c r="G1" s="56" t="s">
        <v>747</v>
      </c>
    </row>
    <row r="2" spans="1:7">
      <c r="A2" s="58">
        <v>100001</v>
      </c>
      <c r="B2" s="58">
        <v>70001</v>
      </c>
      <c r="C2" s="58">
        <v>10000</v>
      </c>
      <c r="D2" s="58">
        <v>8</v>
      </c>
      <c r="E2" s="58">
        <v>23</v>
      </c>
      <c r="F2" s="58">
        <v>24</v>
      </c>
      <c r="G2" s="58">
        <v>0</v>
      </c>
    </row>
    <row r="3" spans="1:7">
      <c r="A3" s="58">
        <v>100002</v>
      </c>
      <c r="B3" s="58">
        <v>70001</v>
      </c>
      <c r="C3" s="58">
        <v>10700</v>
      </c>
      <c r="D3" s="58">
        <v>4</v>
      </c>
      <c r="E3" s="58">
        <v>19</v>
      </c>
      <c r="F3" s="58">
        <v>30</v>
      </c>
      <c r="G3" s="58">
        <v>1</v>
      </c>
    </row>
    <row r="4" spans="1:7">
      <c r="A4" s="58">
        <v>100003</v>
      </c>
      <c r="B4" s="58">
        <v>70001</v>
      </c>
      <c r="C4" s="58">
        <v>11000</v>
      </c>
      <c r="D4" s="58">
        <v>4</v>
      </c>
      <c r="E4" s="58">
        <v>19</v>
      </c>
      <c r="F4" s="58">
        <v>27</v>
      </c>
      <c r="G4" s="58">
        <v>1</v>
      </c>
    </row>
    <row r="5" spans="1:7">
      <c r="A5" s="58">
        <v>100004</v>
      </c>
      <c r="B5" s="58">
        <v>70001</v>
      </c>
      <c r="C5" s="58">
        <v>11000</v>
      </c>
      <c r="D5" s="58">
        <v>4</v>
      </c>
      <c r="E5" s="58">
        <v>19</v>
      </c>
      <c r="F5" s="58">
        <v>24</v>
      </c>
      <c r="G5" s="58">
        <v>1</v>
      </c>
    </row>
    <row r="6" spans="1:7">
      <c r="A6" s="58">
        <v>100005</v>
      </c>
      <c r="B6" s="58">
        <v>70001</v>
      </c>
      <c r="C6" s="58">
        <v>11000</v>
      </c>
      <c r="D6" s="58">
        <v>4</v>
      </c>
      <c r="E6" s="58">
        <v>19</v>
      </c>
      <c r="F6" s="58">
        <v>21</v>
      </c>
      <c r="G6" s="58">
        <v>1</v>
      </c>
    </row>
    <row r="7" spans="1:7">
      <c r="A7" s="58">
        <v>100006</v>
      </c>
      <c r="B7" s="58">
        <v>70001</v>
      </c>
      <c r="C7" s="58">
        <v>10700</v>
      </c>
      <c r="D7" s="58">
        <v>4</v>
      </c>
      <c r="E7" s="58">
        <v>19</v>
      </c>
      <c r="F7" s="58">
        <v>18</v>
      </c>
      <c r="G7" s="58">
        <v>1</v>
      </c>
    </row>
    <row r="8" spans="1:7">
      <c r="A8" s="58">
        <v>100007</v>
      </c>
      <c r="B8" s="58">
        <v>70001</v>
      </c>
      <c r="C8" s="58">
        <v>15100</v>
      </c>
      <c r="D8" s="58">
        <v>8</v>
      </c>
      <c r="E8" s="58">
        <v>22</v>
      </c>
      <c r="F8" s="58">
        <v>30</v>
      </c>
      <c r="G8" s="58">
        <v>0</v>
      </c>
    </row>
    <row r="9" spans="1:7">
      <c r="A9" s="58">
        <v>100008</v>
      </c>
      <c r="B9" s="58">
        <v>70001</v>
      </c>
      <c r="C9" s="58">
        <v>10600</v>
      </c>
      <c r="D9" s="58">
        <v>8</v>
      </c>
      <c r="E9" s="58">
        <v>25</v>
      </c>
      <c r="F9" s="58">
        <v>30</v>
      </c>
      <c r="G9" s="58">
        <v>1</v>
      </c>
    </row>
    <row r="10" spans="1:7">
      <c r="A10" s="58">
        <v>100009</v>
      </c>
      <c r="B10" s="58">
        <v>70001</v>
      </c>
      <c r="C10" s="58">
        <v>15100</v>
      </c>
      <c r="D10" s="58">
        <v>8</v>
      </c>
      <c r="E10" s="58">
        <v>22</v>
      </c>
      <c r="F10" s="58">
        <v>18</v>
      </c>
      <c r="G10" s="58">
        <v>0</v>
      </c>
    </row>
    <row r="11" spans="1:7">
      <c r="A11" s="58">
        <v>100010</v>
      </c>
      <c r="B11" s="58">
        <v>70001</v>
      </c>
      <c r="C11" s="58">
        <v>10600</v>
      </c>
      <c r="D11" s="58">
        <v>8</v>
      </c>
      <c r="E11" s="58">
        <v>25</v>
      </c>
      <c r="F11" s="58">
        <v>18</v>
      </c>
      <c r="G11" s="58">
        <v>1</v>
      </c>
    </row>
    <row r="12" spans="1:7">
      <c r="A12" s="58">
        <v>100011</v>
      </c>
      <c r="B12" s="58">
        <v>70001</v>
      </c>
      <c r="C12" s="58">
        <v>15000</v>
      </c>
      <c r="D12" s="58">
        <v>8</v>
      </c>
      <c r="E12" s="58">
        <v>16</v>
      </c>
      <c r="F12" s="58">
        <v>33</v>
      </c>
      <c r="G12" s="58">
        <v>0</v>
      </c>
    </row>
    <row r="13" spans="1:7">
      <c r="A13" s="58">
        <v>100012</v>
      </c>
      <c r="B13" s="58">
        <v>70001</v>
      </c>
      <c r="C13" s="58">
        <v>15100</v>
      </c>
      <c r="D13" s="58">
        <v>8</v>
      </c>
      <c r="E13" s="58">
        <v>19</v>
      </c>
      <c r="F13" s="58">
        <v>33</v>
      </c>
      <c r="G13" s="58">
        <v>0</v>
      </c>
    </row>
    <row r="14" spans="1:7">
      <c r="A14" s="58">
        <v>100013</v>
      </c>
      <c r="B14" s="58">
        <v>70001</v>
      </c>
      <c r="C14" s="58">
        <v>10600</v>
      </c>
      <c r="D14" s="58">
        <v>8</v>
      </c>
      <c r="E14" s="58">
        <v>22</v>
      </c>
      <c r="F14" s="58">
        <v>33</v>
      </c>
      <c r="G14" s="58">
        <v>1</v>
      </c>
    </row>
    <row r="15" spans="1:7">
      <c r="A15" s="58">
        <v>100014</v>
      </c>
      <c r="B15" s="58">
        <v>70001</v>
      </c>
      <c r="C15" s="58">
        <v>15100</v>
      </c>
      <c r="D15" s="58">
        <v>8</v>
      </c>
      <c r="E15" s="58">
        <v>25</v>
      </c>
      <c r="F15" s="58">
        <v>33</v>
      </c>
      <c r="G15" s="58">
        <v>0</v>
      </c>
    </row>
    <row r="16" spans="1:7">
      <c r="A16" s="58">
        <v>100015</v>
      </c>
      <c r="B16" s="58">
        <v>70001</v>
      </c>
      <c r="C16" s="58">
        <v>15000</v>
      </c>
      <c r="D16" s="58">
        <v>8</v>
      </c>
      <c r="E16" s="58">
        <v>28</v>
      </c>
      <c r="F16" s="58">
        <v>33</v>
      </c>
      <c r="G16" s="58">
        <v>0</v>
      </c>
    </row>
    <row r="17" spans="1:7">
      <c r="A17" s="58">
        <v>100016</v>
      </c>
      <c r="B17" s="58">
        <v>70001</v>
      </c>
      <c r="C17" s="58">
        <v>15400</v>
      </c>
      <c r="D17" s="58">
        <v>4</v>
      </c>
      <c r="E17" s="58">
        <v>28</v>
      </c>
      <c r="F17" s="58">
        <v>30</v>
      </c>
      <c r="G17" s="58">
        <v>0</v>
      </c>
    </row>
    <row r="18" spans="1:7">
      <c r="A18" s="58">
        <v>100017</v>
      </c>
      <c r="B18" s="58">
        <v>70001</v>
      </c>
      <c r="C18" s="58">
        <v>15000</v>
      </c>
      <c r="D18" s="58">
        <v>8</v>
      </c>
      <c r="E18" s="58">
        <v>28</v>
      </c>
      <c r="F18" s="58">
        <v>27</v>
      </c>
      <c r="G18" s="58">
        <v>0</v>
      </c>
    </row>
    <row r="19" spans="1:7">
      <c r="A19" s="58">
        <v>100018</v>
      </c>
      <c r="B19" s="58">
        <v>70001</v>
      </c>
      <c r="C19" s="58">
        <v>15300</v>
      </c>
      <c r="D19" s="58">
        <v>8</v>
      </c>
      <c r="E19" s="58">
        <v>28</v>
      </c>
      <c r="F19" s="58">
        <v>24</v>
      </c>
      <c r="G19" s="58">
        <v>0</v>
      </c>
    </row>
    <row r="20" spans="1:7">
      <c r="A20" s="58">
        <v>100019</v>
      </c>
      <c r="B20" s="58">
        <v>70001</v>
      </c>
      <c r="C20" s="58">
        <v>15000</v>
      </c>
      <c r="D20" s="58">
        <v>8</v>
      </c>
      <c r="E20" s="58">
        <v>28</v>
      </c>
      <c r="F20" s="58">
        <v>21</v>
      </c>
      <c r="G20" s="58">
        <v>0</v>
      </c>
    </row>
    <row r="21" spans="1:7">
      <c r="A21" s="58">
        <v>100020</v>
      </c>
      <c r="B21" s="58">
        <v>70001</v>
      </c>
      <c r="C21" s="58">
        <v>15400</v>
      </c>
      <c r="D21" s="58">
        <v>4</v>
      </c>
      <c r="E21" s="58">
        <v>28</v>
      </c>
      <c r="F21" s="58">
        <v>18</v>
      </c>
      <c r="G21" s="58">
        <v>0</v>
      </c>
    </row>
    <row r="22" spans="1:7">
      <c r="A22" s="58">
        <v>100021</v>
      </c>
      <c r="B22" s="58">
        <v>70001</v>
      </c>
      <c r="C22" s="58">
        <v>15000</v>
      </c>
      <c r="D22" s="58">
        <v>8</v>
      </c>
      <c r="E22" s="58">
        <v>28</v>
      </c>
      <c r="F22" s="58">
        <v>15</v>
      </c>
      <c r="G22" s="58">
        <v>0</v>
      </c>
    </row>
    <row r="23" spans="1:7">
      <c r="A23" s="58">
        <v>100022</v>
      </c>
      <c r="B23" s="58">
        <v>70001</v>
      </c>
      <c r="C23" s="58">
        <v>15100</v>
      </c>
      <c r="D23" s="58">
        <v>8</v>
      </c>
      <c r="E23" s="58">
        <v>25</v>
      </c>
      <c r="F23" s="58">
        <v>15</v>
      </c>
      <c r="G23" s="58">
        <v>0</v>
      </c>
    </row>
    <row r="24" spans="1:7">
      <c r="A24" s="58">
        <v>100023</v>
      </c>
      <c r="B24" s="58">
        <v>70001</v>
      </c>
      <c r="C24" s="58">
        <v>10600</v>
      </c>
      <c r="D24" s="58">
        <v>8</v>
      </c>
      <c r="E24" s="58">
        <v>22</v>
      </c>
      <c r="F24" s="58">
        <v>15</v>
      </c>
      <c r="G24" s="58">
        <v>1</v>
      </c>
    </row>
    <row r="25" spans="1:7">
      <c r="A25" s="58">
        <v>100024</v>
      </c>
      <c r="B25" s="58">
        <v>70001</v>
      </c>
      <c r="C25" s="58">
        <v>15100</v>
      </c>
      <c r="D25" s="58">
        <v>8</v>
      </c>
      <c r="E25" s="58">
        <v>19</v>
      </c>
      <c r="F25" s="58">
        <v>15</v>
      </c>
      <c r="G25" s="58">
        <v>0</v>
      </c>
    </row>
    <row r="26" spans="1:7">
      <c r="A26" s="58">
        <v>100025</v>
      </c>
      <c r="B26" s="58">
        <v>70001</v>
      </c>
      <c r="C26" s="58">
        <v>15000</v>
      </c>
      <c r="D26" s="58">
        <v>8</v>
      </c>
      <c r="E26" s="58">
        <v>16</v>
      </c>
      <c r="F26" s="58">
        <v>15</v>
      </c>
      <c r="G26" s="58">
        <v>0</v>
      </c>
    </row>
    <row r="27" spans="1:7">
      <c r="A27" s="58">
        <v>100026</v>
      </c>
      <c r="B27" s="58">
        <v>70001</v>
      </c>
      <c r="C27" s="58">
        <v>15700</v>
      </c>
      <c r="D27" s="58">
        <v>2</v>
      </c>
      <c r="E27" s="58">
        <v>16</v>
      </c>
      <c r="F27" s="58">
        <v>30</v>
      </c>
      <c r="G27" s="58">
        <v>0</v>
      </c>
    </row>
    <row r="28" spans="1:7">
      <c r="A28" s="58">
        <v>100027</v>
      </c>
      <c r="B28" s="58">
        <v>70001</v>
      </c>
      <c r="C28" s="58">
        <v>15700</v>
      </c>
      <c r="D28" s="58">
        <v>2</v>
      </c>
      <c r="E28" s="58">
        <v>16</v>
      </c>
      <c r="F28" s="58">
        <v>18</v>
      </c>
      <c r="G28" s="58">
        <v>0</v>
      </c>
    </row>
    <row r="29" spans="1:7">
      <c r="A29" s="58">
        <v>100028</v>
      </c>
      <c r="B29" s="58">
        <v>70002</v>
      </c>
      <c r="C29" s="58">
        <v>10000</v>
      </c>
      <c r="D29" s="58">
        <v>8</v>
      </c>
      <c r="E29" s="58">
        <v>25</v>
      </c>
      <c r="F29" s="58">
        <v>25</v>
      </c>
      <c r="G29" s="58">
        <v>1</v>
      </c>
    </row>
    <row r="30" spans="1:7">
      <c r="A30" s="58">
        <v>100029</v>
      </c>
      <c r="B30" s="58">
        <v>70002</v>
      </c>
      <c r="C30" s="58">
        <v>10600</v>
      </c>
      <c r="D30" s="58">
        <v>8</v>
      </c>
      <c r="E30" s="58">
        <v>20</v>
      </c>
      <c r="F30" s="58">
        <v>32</v>
      </c>
      <c r="G30" s="58">
        <v>1</v>
      </c>
    </row>
    <row r="31" spans="1:7">
      <c r="A31" s="58">
        <v>100030</v>
      </c>
      <c r="B31" s="58">
        <v>70002</v>
      </c>
      <c r="C31" s="58">
        <v>10600</v>
      </c>
      <c r="D31" s="58">
        <v>8</v>
      </c>
      <c r="E31" s="58">
        <v>23</v>
      </c>
      <c r="F31" s="58">
        <v>32</v>
      </c>
      <c r="G31" s="58">
        <v>1</v>
      </c>
    </row>
    <row r="32" spans="1:7">
      <c r="A32" s="58">
        <v>100031</v>
      </c>
      <c r="B32" s="58">
        <v>70002</v>
      </c>
      <c r="C32" s="58">
        <v>11000</v>
      </c>
      <c r="D32" s="58">
        <v>4</v>
      </c>
      <c r="E32" s="58">
        <v>26</v>
      </c>
      <c r="F32" s="58">
        <v>32</v>
      </c>
      <c r="G32" s="58">
        <v>1</v>
      </c>
    </row>
    <row r="33" spans="1:7">
      <c r="A33" s="58">
        <v>100032</v>
      </c>
      <c r="B33" s="58">
        <v>70002</v>
      </c>
      <c r="C33" s="58">
        <v>10700</v>
      </c>
      <c r="D33" s="58">
        <v>4</v>
      </c>
      <c r="E33" s="58">
        <v>29</v>
      </c>
      <c r="F33" s="58">
        <v>32</v>
      </c>
      <c r="G33" s="58">
        <v>1</v>
      </c>
    </row>
    <row r="34" spans="1:7">
      <c r="A34" s="58">
        <v>100033</v>
      </c>
      <c r="B34" s="58">
        <v>70002</v>
      </c>
      <c r="C34" s="58">
        <v>10600</v>
      </c>
      <c r="D34" s="58">
        <v>8</v>
      </c>
      <c r="E34" s="58">
        <v>32</v>
      </c>
      <c r="F34" s="58">
        <v>29</v>
      </c>
      <c r="G34" s="58">
        <v>1</v>
      </c>
    </row>
    <row r="35" spans="1:7">
      <c r="A35" s="58">
        <v>100034</v>
      </c>
      <c r="B35" s="58">
        <v>70002</v>
      </c>
      <c r="C35" s="58">
        <v>11000</v>
      </c>
      <c r="D35" s="58">
        <v>4</v>
      </c>
      <c r="E35" s="58">
        <v>32</v>
      </c>
      <c r="F35" s="58">
        <v>26</v>
      </c>
      <c r="G35" s="58">
        <v>1</v>
      </c>
    </row>
    <row r="36" spans="1:7">
      <c r="A36" s="58">
        <v>100035</v>
      </c>
      <c r="B36" s="58">
        <v>70002</v>
      </c>
      <c r="C36" s="58">
        <v>10700</v>
      </c>
      <c r="D36" s="58">
        <v>4</v>
      </c>
      <c r="E36" s="58">
        <v>32</v>
      </c>
      <c r="F36" s="58">
        <v>23</v>
      </c>
      <c r="G36" s="58">
        <v>1</v>
      </c>
    </row>
    <row r="37" spans="1:7">
      <c r="A37" s="58">
        <v>100036</v>
      </c>
      <c r="B37" s="58">
        <v>70002</v>
      </c>
      <c r="C37" s="58">
        <v>10600</v>
      </c>
      <c r="D37" s="58">
        <v>8</v>
      </c>
      <c r="E37" s="58">
        <v>32</v>
      </c>
      <c r="F37" s="58">
        <v>20</v>
      </c>
      <c r="G37" s="58">
        <v>1</v>
      </c>
    </row>
    <row r="38" spans="1:7">
      <c r="A38" s="58">
        <v>100037</v>
      </c>
      <c r="B38" s="58">
        <v>70002</v>
      </c>
      <c r="C38" s="58">
        <v>10600</v>
      </c>
      <c r="D38" s="58">
        <v>8</v>
      </c>
      <c r="E38" s="58">
        <v>20</v>
      </c>
      <c r="F38" s="58">
        <v>17</v>
      </c>
      <c r="G38" s="58">
        <v>1</v>
      </c>
    </row>
    <row r="39" spans="1:7">
      <c r="A39" s="58">
        <v>100038</v>
      </c>
      <c r="B39" s="58">
        <v>70002</v>
      </c>
      <c r="C39" s="58">
        <v>10600</v>
      </c>
      <c r="D39" s="58">
        <v>8</v>
      </c>
      <c r="E39" s="58">
        <v>23</v>
      </c>
      <c r="F39" s="58">
        <v>17</v>
      </c>
      <c r="G39" s="58">
        <v>1</v>
      </c>
    </row>
    <row r="40" spans="1:7">
      <c r="A40" s="58">
        <v>100039</v>
      </c>
      <c r="B40" s="58">
        <v>70002</v>
      </c>
      <c r="C40" s="58">
        <v>11000</v>
      </c>
      <c r="D40" s="58">
        <v>4</v>
      </c>
      <c r="E40" s="58">
        <v>26</v>
      </c>
      <c r="F40" s="58">
        <v>17</v>
      </c>
      <c r="G40" s="58">
        <v>1</v>
      </c>
    </row>
    <row r="41" spans="1:7">
      <c r="A41" s="58">
        <v>100040</v>
      </c>
      <c r="B41" s="58">
        <v>70002</v>
      </c>
      <c r="C41" s="58">
        <v>10600</v>
      </c>
      <c r="D41" s="58">
        <v>8</v>
      </c>
      <c r="E41" s="58">
        <v>29</v>
      </c>
      <c r="F41" s="58">
        <v>17</v>
      </c>
      <c r="G41" s="58">
        <v>1</v>
      </c>
    </row>
    <row r="42" spans="1:7">
      <c r="A42" s="58">
        <v>100041</v>
      </c>
      <c r="B42" s="58">
        <v>70002</v>
      </c>
      <c r="C42" s="58">
        <v>15600</v>
      </c>
      <c r="D42" s="58">
        <v>2</v>
      </c>
      <c r="E42" s="58">
        <v>20</v>
      </c>
      <c r="F42" s="58">
        <v>29</v>
      </c>
      <c r="G42" s="58">
        <v>0</v>
      </c>
    </row>
    <row r="43" spans="1:7">
      <c r="A43" s="58">
        <v>100042</v>
      </c>
      <c r="B43" s="58">
        <v>70002</v>
      </c>
      <c r="C43" s="58">
        <v>15000</v>
      </c>
      <c r="D43" s="58">
        <v>8</v>
      </c>
      <c r="E43" s="58">
        <v>23</v>
      </c>
      <c r="F43" s="58">
        <v>29</v>
      </c>
      <c r="G43" s="58">
        <v>0</v>
      </c>
    </row>
    <row r="44" spans="1:7">
      <c r="A44" s="58">
        <v>100043</v>
      </c>
      <c r="B44" s="58">
        <v>70002</v>
      </c>
      <c r="C44" s="58">
        <v>15400</v>
      </c>
      <c r="D44" s="58">
        <v>4</v>
      </c>
      <c r="E44" s="58">
        <v>26</v>
      </c>
      <c r="F44" s="58">
        <v>29</v>
      </c>
      <c r="G44" s="58">
        <v>0</v>
      </c>
    </row>
    <row r="45" spans="1:7">
      <c r="A45" s="58">
        <v>100044</v>
      </c>
      <c r="B45" s="58">
        <v>70002</v>
      </c>
      <c r="C45" s="58">
        <v>15300</v>
      </c>
      <c r="D45" s="58">
        <v>8</v>
      </c>
      <c r="E45" s="58">
        <v>29</v>
      </c>
      <c r="F45" s="58">
        <v>29</v>
      </c>
      <c r="G45" s="58">
        <v>0</v>
      </c>
    </row>
    <row r="46" spans="1:7">
      <c r="A46" s="58">
        <v>100045</v>
      </c>
      <c r="B46" s="58">
        <v>70002</v>
      </c>
      <c r="C46" s="58">
        <v>15100</v>
      </c>
      <c r="D46" s="58">
        <v>8</v>
      </c>
      <c r="E46" s="58">
        <v>29</v>
      </c>
      <c r="F46" s="58">
        <v>26</v>
      </c>
      <c r="G46" s="58">
        <v>0</v>
      </c>
    </row>
    <row r="47" spans="1:7">
      <c r="A47" s="58">
        <v>100046</v>
      </c>
      <c r="B47" s="58">
        <v>70002</v>
      </c>
      <c r="C47" s="58">
        <v>15300</v>
      </c>
      <c r="D47" s="58">
        <v>8</v>
      </c>
      <c r="E47" s="58">
        <v>29</v>
      </c>
      <c r="F47" s="58">
        <v>23</v>
      </c>
      <c r="G47" s="58">
        <v>0</v>
      </c>
    </row>
    <row r="48" spans="1:7">
      <c r="A48" s="58">
        <v>100047</v>
      </c>
      <c r="B48" s="58">
        <v>70002</v>
      </c>
      <c r="C48" s="58">
        <v>15000</v>
      </c>
      <c r="D48" s="58">
        <v>8</v>
      </c>
      <c r="E48" s="58">
        <v>29</v>
      </c>
      <c r="F48" s="58">
        <v>20</v>
      </c>
      <c r="G48" s="58">
        <v>0</v>
      </c>
    </row>
    <row r="49" spans="1:7">
      <c r="A49" s="58">
        <v>100048</v>
      </c>
      <c r="B49" s="58">
        <v>70002</v>
      </c>
      <c r="C49" s="58">
        <v>15400</v>
      </c>
      <c r="D49" s="58">
        <v>4</v>
      </c>
      <c r="E49" s="58">
        <v>26</v>
      </c>
      <c r="F49" s="58">
        <v>20</v>
      </c>
      <c r="G49" s="58">
        <v>0</v>
      </c>
    </row>
    <row r="50" spans="1:7">
      <c r="A50" s="58">
        <v>100049</v>
      </c>
      <c r="B50" s="58">
        <v>70002</v>
      </c>
      <c r="C50" s="58">
        <v>15100</v>
      </c>
      <c r="D50" s="58">
        <v>8</v>
      </c>
      <c r="E50" s="58">
        <v>23</v>
      </c>
      <c r="F50" s="58">
        <v>20</v>
      </c>
      <c r="G50" s="58">
        <v>0</v>
      </c>
    </row>
    <row r="51" spans="1:7">
      <c r="A51" s="58">
        <v>100050</v>
      </c>
      <c r="B51" s="58">
        <v>70002</v>
      </c>
      <c r="C51" s="58">
        <v>15300</v>
      </c>
      <c r="D51" s="58">
        <v>8</v>
      </c>
      <c r="E51" s="58">
        <v>20</v>
      </c>
      <c r="F51" s="58">
        <v>20</v>
      </c>
      <c r="G51" s="58">
        <v>0</v>
      </c>
    </row>
    <row r="52" spans="1:7">
      <c r="A52" s="58">
        <v>100051</v>
      </c>
      <c r="B52" s="58">
        <v>70002</v>
      </c>
      <c r="C52" s="58">
        <v>15700</v>
      </c>
      <c r="D52" s="58">
        <v>2</v>
      </c>
      <c r="E52" s="58">
        <v>32</v>
      </c>
      <c r="F52" s="58">
        <v>32</v>
      </c>
      <c r="G52" s="58">
        <v>0</v>
      </c>
    </row>
    <row r="53" spans="1:7">
      <c r="A53" s="58">
        <v>100052</v>
      </c>
      <c r="B53" s="58">
        <v>70002</v>
      </c>
      <c r="C53" s="58">
        <v>15700</v>
      </c>
      <c r="D53" s="58">
        <v>2</v>
      </c>
      <c r="E53" s="58">
        <v>32</v>
      </c>
      <c r="F53" s="58">
        <v>17</v>
      </c>
      <c r="G53" s="58">
        <v>0</v>
      </c>
    </row>
    <row r="54" spans="1:7">
      <c r="A54" s="58">
        <v>100053</v>
      </c>
      <c r="B54" s="58">
        <v>70002</v>
      </c>
      <c r="C54" s="58">
        <v>10600</v>
      </c>
      <c r="D54" s="58">
        <v>8</v>
      </c>
      <c r="E54" s="58">
        <v>17</v>
      </c>
      <c r="F54" s="58">
        <v>26</v>
      </c>
      <c r="G54" s="58">
        <v>1</v>
      </c>
    </row>
    <row r="55" spans="1:7">
      <c r="A55" s="58">
        <v>100054</v>
      </c>
      <c r="B55" s="58">
        <v>70002</v>
      </c>
      <c r="C55" s="58">
        <v>10600</v>
      </c>
      <c r="D55" s="58">
        <v>8</v>
      </c>
      <c r="E55" s="58">
        <v>17</v>
      </c>
      <c r="F55" s="58">
        <v>23</v>
      </c>
      <c r="G55" s="58">
        <v>1</v>
      </c>
    </row>
    <row r="56" spans="1:7">
      <c r="A56" s="58">
        <v>100055</v>
      </c>
      <c r="B56" s="58">
        <v>70002</v>
      </c>
      <c r="C56" s="58">
        <v>15100</v>
      </c>
      <c r="D56" s="58">
        <v>8</v>
      </c>
      <c r="E56" s="58">
        <v>20</v>
      </c>
      <c r="F56" s="58">
        <v>26</v>
      </c>
      <c r="G56" s="58">
        <v>0</v>
      </c>
    </row>
    <row r="57" spans="1:7">
      <c r="A57" s="58">
        <v>100056</v>
      </c>
      <c r="B57" s="58">
        <v>70002</v>
      </c>
      <c r="C57" s="58">
        <v>15400</v>
      </c>
      <c r="D57" s="58">
        <v>4</v>
      </c>
      <c r="E57" s="58">
        <v>20</v>
      </c>
      <c r="F57" s="58">
        <v>23</v>
      </c>
      <c r="G57" s="58">
        <v>0</v>
      </c>
    </row>
    <row r="58" spans="1:7">
      <c r="A58" s="58">
        <v>100057</v>
      </c>
      <c r="B58" s="58">
        <v>70003</v>
      </c>
      <c r="C58" s="58">
        <v>10000</v>
      </c>
      <c r="D58" s="58">
        <v>8</v>
      </c>
      <c r="E58" s="58">
        <v>25</v>
      </c>
      <c r="F58" s="58">
        <v>25</v>
      </c>
      <c r="G58" s="58">
        <v>1</v>
      </c>
    </row>
    <row r="59" spans="1:7">
      <c r="A59" s="58">
        <v>100058</v>
      </c>
      <c r="B59" s="58">
        <v>70003</v>
      </c>
      <c r="C59" s="58">
        <v>15400</v>
      </c>
      <c r="D59" s="58">
        <v>4</v>
      </c>
      <c r="E59" s="58">
        <v>21</v>
      </c>
      <c r="F59" s="58">
        <v>29</v>
      </c>
      <c r="G59" s="58">
        <v>0</v>
      </c>
    </row>
    <row r="60" spans="1:7">
      <c r="A60" s="58">
        <v>100059</v>
      </c>
      <c r="B60" s="58">
        <v>70003</v>
      </c>
      <c r="C60" s="58">
        <v>11000</v>
      </c>
      <c r="D60" s="58">
        <v>4</v>
      </c>
      <c r="E60" s="58">
        <v>21</v>
      </c>
      <c r="F60" s="58">
        <v>26</v>
      </c>
      <c r="G60" s="58">
        <v>1</v>
      </c>
    </row>
    <row r="61" spans="1:7">
      <c r="A61" s="58">
        <v>100060</v>
      </c>
      <c r="B61" s="58">
        <v>70003</v>
      </c>
      <c r="C61" s="58">
        <v>15100</v>
      </c>
      <c r="D61" s="58">
        <v>8</v>
      </c>
      <c r="E61" s="58">
        <v>21</v>
      </c>
      <c r="F61" s="58">
        <v>23</v>
      </c>
      <c r="G61" s="58">
        <v>0</v>
      </c>
    </row>
    <row r="62" spans="1:7">
      <c r="A62" s="58">
        <v>100061</v>
      </c>
      <c r="B62" s="58">
        <v>70003</v>
      </c>
      <c r="C62" s="58">
        <v>11000</v>
      </c>
      <c r="D62" s="58">
        <v>4</v>
      </c>
      <c r="E62" s="58">
        <v>24</v>
      </c>
      <c r="F62" s="58">
        <v>29</v>
      </c>
      <c r="G62" s="58">
        <v>1</v>
      </c>
    </row>
    <row r="63" spans="1:7">
      <c r="A63" s="58">
        <v>100062</v>
      </c>
      <c r="B63" s="58">
        <v>70003</v>
      </c>
      <c r="C63" s="58">
        <v>11000</v>
      </c>
      <c r="D63" s="58">
        <v>4</v>
      </c>
      <c r="E63" s="58">
        <v>27</v>
      </c>
      <c r="F63" s="58">
        <v>29</v>
      </c>
      <c r="G63" s="58">
        <v>1</v>
      </c>
    </row>
    <row r="64" spans="1:7">
      <c r="A64" s="58">
        <v>100063</v>
      </c>
      <c r="B64" s="58">
        <v>70003</v>
      </c>
      <c r="C64" s="58">
        <v>15400</v>
      </c>
      <c r="D64" s="58">
        <v>4</v>
      </c>
      <c r="E64" s="58">
        <v>30</v>
      </c>
      <c r="F64" s="58">
        <v>29</v>
      </c>
      <c r="G64" s="58">
        <v>0</v>
      </c>
    </row>
    <row r="65" spans="1:7">
      <c r="A65" s="58">
        <v>100064</v>
      </c>
      <c r="B65" s="58">
        <v>70003</v>
      </c>
      <c r="C65" s="58">
        <v>10700</v>
      </c>
      <c r="D65" s="58">
        <v>4</v>
      </c>
      <c r="E65" s="58">
        <v>30</v>
      </c>
      <c r="F65" s="58">
        <v>26</v>
      </c>
      <c r="G65" s="58">
        <v>1</v>
      </c>
    </row>
    <row r="66" spans="1:7">
      <c r="A66" s="58">
        <v>100065</v>
      </c>
      <c r="B66" s="58">
        <v>70003</v>
      </c>
      <c r="C66" s="58">
        <v>10700</v>
      </c>
      <c r="D66" s="58">
        <v>4</v>
      </c>
      <c r="E66" s="58">
        <v>30</v>
      </c>
      <c r="F66" s="58">
        <v>23</v>
      </c>
      <c r="G66" s="58">
        <v>1</v>
      </c>
    </row>
    <row r="67" spans="1:7">
      <c r="A67" s="58">
        <v>100066</v>
      </c>
      <c r="B67" s="58">
        <v>70003</v>
      </c>
      <c r="C67" s="58">
        <v>15400</v>
      </c>
      <c r="D67" s="58">
        <v>4</v>
      </c>
      <c r="E67" s="58">
        <v>30</v>
      </c>
      <c r="F67" s="58">
        <v>20</v>
      </c>
      <c r="G67" s="58">
        <v>0</v>
      </c>
    </row>
    <row r="68" spans="1:7">
      <c r="A68" s="58">
        <v>100067</v>
      </c>
      <c r="B68" s="58">
        <v>70003</v>
      </c>
      <c r="C68" s="58">
        <v>11000</v>
      </c>
      <c r="D68" s="58">
        <v>4</v>
      </c>
      <c r="E68" s="58">
        <v>27</v>
      </c>
      <c r="F68" s="58">
        <v>20</v>
      </c>
      <c r="G68" s="58">
        <v>1</v>
      </c>
    </row>
    <row r="69" spans="1:7">
      <c r="A69" s="58">
        <v>100068</v>
      </c>
      <c r="B69" s="58">
        <v>70003</v>
      </c>
      <c r="C69" s="58">
        <v>15100</v>
      </c>
      <c r="D69" s="58">
        <v>8</v>
      </c>
      <c r="E69" s="58">
        <v>24</v>
      </c>
      <c r="F69" s="58">
        <v>20</v>
      </c>
      <c r="G69" s="58">
        <v>0</v>
      </c>
    </row>
    <row r="70" spans="1:7">
      <c r="A70" s="58">
        <v>100069</v>
      </c>
      <c r="B70" s="58">
        <v>70003</v>
      </c>
      <c r="C70" s="58">
        <v>15100</v>
      </c>
      <c r="D70" s="58">
        <v>8</v>
      </c>
      <c r="E70" s="58">
        <v>18</v>
      </c>
      <c r="F70" s="58">
        <v>32</v>
      </c>
      <c r="G70" s="58">
        <v>0</v>
      </c>
    </row>
    <row r="71" spans="1:7">
      <c r="A71" s="58">
        <v>100070</v>
      </c>
      <c r="B71" s="58">
        <v>70003</v>
      </c>
      <c r="C71" s="58">
        <v>15100</v>
      </c>
      <c r="D71" s="58">
        <v>8</v>
      </c>
      <c r="E71" s="58">
        <v>18</v>
      </c>
      <c r="F71" s="58">
        <v>29</v>
      </c>
      <c r="G71" s="58">
        <v>0</v>
      </c>
    </row>
    <row r="72" spans="1:7">
      <c r="A72" s="58">
        <v>100071</v>
      </c>
      <c r="B72" s="58">
        <v>70003</v>
      </c>
      <c r="C72" s="58">
        <v>15300</v>
      </c>
      <c r="D72" s="58">
        <v>8</v>
      </c>
      <c r="E72" s="58">
        <v>18</v>
      </c>
      <c r="F72" s="58">
        <v>26</v>
      </c>
      <c r="G72" s="58">
        <v>0</v>
      </c>
    </row>
    <row r="73" spans="1:7">
      <c r="A73" s="58">
        <v>100072</v>
      </c>
      <c r="B73" s="58">
        <v>70003</v>
      </c>
      <c r="C73" s="58">
        <v>15000</v>
      </c>
      <c r="D73" s="58">
        <v>8</v>
      </c>
      <c r="E73" s="58">
        <v>18</v>
      </c>
      <c r="F73" s="58">
        <v>23</v>
      </c>
      <c r="G73" s="58">
        <v>0</v>
      </c>
    </row>
    <row r="74" spans="1:7">
      <c r="A74" s="58">
        <v>100073</v>
      </c>
      <c r="B74" s="58">
        <v>70003</v>
      </c>
      <c r="C74" s="58">
        <v>15100</v>
      </c>
      <c r="D74" s="58">
        <v>8</v>
      </c>
      <c r="E74" s="58">
        <v>18</v>
      </c>
      <c r="F74" s="58">
        <v>20</v>
      </c>
      <c r="G74" s="58">
        <v>0</v>
      </c>
    </row>
    <row r="75" spans="1:7">
      <c r="A75" s="58">
        <v>100074</v>
      </c>
      <c r="B75" s="58">
        <v>70003</v>
      </c>
      <c r="C75" s="58">
        <v>15700</v>
      </c>
      <c r="D75" s="58">
        <v>2</v>
      </c>
      <c r="E75" s="58">
        <v>21</v>
      </c>
      <c r="F75" s="58">
        <v>32</v>
      </c>
      <c r="G75" s="58">
        <v>0</v>
      </c>
    </row>
    <row r="76" spans="1:7">
      <c r="A76" s="58">
        <v>100075</v>
      </c>
      <c r="B76" s="58">
        <v>70003</v>
      </c>
      <c r="C76" s="58">
        <v>10600</v>
      </c>
      <c r="D76" s="58">
        <v>8</v>
      </c>
      <c r="E76" s="58">
        <v>24</v>
      </c>
      <c r="F76" s="58">
        <v>32</v>
      </c>
      <c r="G76" s="58">
        <v>1</v>
      </c>
    </row>
    <row r="77" spans="1:7">
      <c r="A77" s="58">
        <v>100076</v>
      </c>
      <c r="B77" s="58">
        <v>70003</v>
      </c>
      <c r="C77" s="58">
        <v>10600</v>
      </c>
      <c r="D77" s="58">
        <v>8</v>
      </c>
      <c r="E77" s="58">
        <v>27</v>
      </c>
      <c r="F77" s="58">
        <v>32</v>
      </c>
      <c r="G77" s="58">
        <v>1</v>
      </c>
    </row>
    <row r="78" spans="1:7">
      <c r="A78" s="58">
        <v>100077</v>
      </c>
      <c r="B78" s="58">
        <v>70003</v>
      </c>
      <c r="C78" s="58">
        <v>15700</v>
      </c>
      <c r="D78" s="58">
        <v>2</v>
      </c>
      <c r="E78" s="58">
        <v>30</v>
      </c>
      <c r="F78" s="58">
        <v>32</v>
      </c>
      <c r="G78" s="58">
        <v>0</v>
      </c>
    </row>
    <row r="79" spans="1:7">
      <c r="A79" s="58">
        <v>100078</v>
      </c>
      <c r="B79" s="58">
        <v>70003</v>
      </c>
      <c r="C79" s="58">
        <v>15100</v>
      </c>
      <c r="D79" s="58">
        <v>8</v>
      </c>
      <c r="E79" s="58">
        <v>33</v>
      </c>
      <c r="F79" s="58">
        <v>32</v>
      </c>
      <c r="G79" s="58">
        <v>0</v>
      </c>
    </row>
    <row r="80" spans="1:7">
      <c r="A80" s="58">
        <v>100079</v>
      </c>
      <c r="B80" s="58">
        <v>70003</v>
      </c>
      <c r="C80" s="58">
        <v>15100</v>
      </c>
      <c r="D80" s="58">
        <v>8</v>
      </c>
      <c r="E80" s="58">
        <v>33</v>
      </c>
      <c r="F80" s="58">
        <v>29</v>
      </c>
      <c r="G80" s="58">
        <v>0</v>
      </c>
    </row>
    <row r="81" spans="1:7">
      <c r="A81" s="58">
        <v>100080</v>
      </c>
      <c r="B81" s="58">
        <v>70003</v>
      </c>
      <c r="C81" s="58">
        <v>10600</v>
      </c>
      <c r="D81" s="58">
        <v>8</v>
      </c>
      <c r="E81" s="58">
        <v>33</v>
      </c>
      <c r="F81" s="58">
        <v>26</v>
      </c>
      <c r="G81" s="58">
        <v>1</v>
      </c>
    </row>
    <row r="82" spans="1:7">
      <c r="A82" s="58">
        <v>100081</v>
      </c>
      <c r="B82" s="58">
        <v>70003</v>
      </c>
      <c r="C82" s="58">
        <v>10600</v>
      </c>
      <c r="D82" s="58">
        <v>8</v>
      </c>
      <c r="E82" s="58">
        <v>33</v>
      </c>
      <c r="F82" s="58">
        <v>23</v>
      </c>
      <c r="G82" s="58">
        <v>1</v>
      </c>
    </row>
    <row r="83" spans="1:7">
      <c r="A83" s="58">
        <v>100082</v>
      </c>
      <c r="B83" s="58">
        <v>70003</v>
      </c>
      <c r="C83" s="58">
        <v>15100</v>
      </c>
      <c r="D83" s="58">
        <v>8</v>
      </c>
      <c r="E83" s="58">
        <v>33</v>
      </c>
      <c r="F83" s="58">
        <v>20</v>
      </c>
      <c r="G83" s="58">
        <v>0</v>
      </c>
    </row>
    <row r="84" spans="1:7">
      <c r="A84" s="58">
        <v>100083</v>
      </c>
      <c r="B84" s="58">
        <v>70003</v>
      </c>
      <c r="C84" s="58">
        <v>15700</v>
      </c>
      <c r="D84" s="58">
        <v>2</v>
      </c>
      <c r="E84" s="58">
        <v>33</v>
      </c>
      <c r="F84" s="58">
        <v>17</v>
      </c>
      <c r="G84" s="58">
        <v>0</v>
      </c>
    </row>
    <row r="85" spans="1:7">
      <c r="A85" s="58">
        <v>100084</v>
      </c>
      <c r="B85" s="58">
        <v>70003</v>
      </c>
      <c r="C85" s="58">
        <v>15100</v>
      </c>
      <c r="D85" s="58">
        <v>8</v>
      </c>
      <c r="E85" s="58">
        <v>30</v>
      </c>
      <c r="F85" s="58">
        <v>17</v>
      </c>
      <c r="G85" s="58">
        <v>0</v>
      </c>
    </row>
    <row r="86" spans="1:7">
      <c r="A86" s="58">
        <v>100085</v>
      </c>
      <c r="B86" s="58">
        <v>70003</v>
      </c>
      <c r="C86" s="58">
        <v>15300</v>
      </c>
      <c r="D86" s="58">
        <v>8</v>
      </c>
      <c r="E86" s="58">
        <v>27</v>
      </c>
      <c r="F86" s="58">
        <v>17</v>
      </c>
      <c r="G86" s="58">
        <v>0</v>
      </c>
    </row>
    <row r="87" spans="1:7">
      <c r="A87" s="58">
        <v>100086</v>
      </c>
      <c r="B87" s="58">
        <v>70003</v>
      </c>
      <c r="C87" s="58">
        <v>15000</v>
      </c>
      <c r="D87" s="58">
        <v>8</v>
      </c>
      <c r="E87" s="58">
        <v>24</v>
      </c>
      <c r="F87" s="58">
        <v>17</v>
      </c>
      <c r="G87" s="58">
        <v>0</v>
      </c>
    </row>
    <row r="88" spans="1:7">
      <c r="A88" s="58">
        <v>100087</v>
      </c>
      <c r="B88" s="58">
        <v>70003</v>
      </c>
      <c r="C88" s="58">
        <v>15100</v>
      </c>
      <c r="D88" s="58">
        <v>8</v>
      </c>
      <c r="E88" s="58">
        <v>21</v>
      </c>
      <c r="F88" s="58">
        <v>17</v>
      </c>
      <c r="G88" s="58">
        <v>0</v>
      </c>
    </row>
    <row r="89" spans="1:7">
      <c r="A89" s="58">
        <v>100088</v>
      </c>
      <c r="B89" s="58">
        <v>70003</v>
      </c>
      <c r="C89" s="58">
        <v>15400</v>
      </c>
      <c r="D89" s="58">
        <v>4</v>
      </c>
      <c r="E89" s="58">
        <v>18</v>
      </c>
      <c r="F89" s="58">
        <v>17</v>
      </c>
      <c r="G89" s="58">
        <v>0</v>
      </c>
    </row>
    <row r="90" spans="1:7">
      <c r="A90" s="58">
        <v>100089</v>
      </c>
      <c r="B90" s="58">
        <v>70004</v>
      </c>
      <c r="C90" s="58">
        <v>10000</v>
      </c>
      <c r="D90" s="58">
        <v>8</v>
      </c>
      <c r="E90" s="58">
        <v>25</v>
      </c>
      <c r="F90" s="58">
        <v>25</v>
      </c>
      <c r="G90" s="58">
        <v>1</v>
      </c>
    </row>
    <row r="91" spans="1:7">
      <c r="A91" s="58">
        <v>100090</v>
      </c>
      <c r="B91" s="58">
        <v>70004</v>
      </c>
      <c r="C91" s="58">
        <v>15400</v>
      </c>
      <c r="D91" s="58">
        <v>4</v>
      </c>
      <c r="E91" s="58">
        <v>21</v>
      </c>
      <c r="F91" s="58">
        <v>29</v>
      </c>
      <c r="G91" s="58">
        <v>0</v>
      </c>
    </row>
    <row r="92" spans="1:7">
      <c r="A92" s="58">
        <v>100091</v>
      </c>
      <c r="B92" s="58">
        <v>70004</v>
      </c>
      <c r="C92" s="58">
        <v>15300</v>
      </c>
      <c r="D92" s="58">
        <v>8</v>
      </c>
      <c r="E92" s="58">
        <v>24</v>
      </c>
      <c r="F92" s="58">
        <v>29</v>
      </c>
      <c r="G92" s="58">
        <v>0</v>
      </c>
    </row>
    <row r="93" spans="1:7">
      <c r="A93" s="58">
        <v>100092</v>
      </c>
      <c r="B93" s="58">
        <v>70004</v>
      </c>
      <c r="C93" s="58">
        <v>15300</v>
      </c>
      <c r="D93" s="58">
        <v>8</v>
      </c>
      <c r="E93" s="58">
        <v>27</v>
      </c>
      <c r="F93" s="58">
        <v>29</v>
      </c>
      <c r="G93" s="58">
        <v>0</v>
      </c>
    </row>
    <row r="94" spans="1:7">
      <c r="A94" s="58">
        <v>100093</v>
      </c>
      <c r="B94" s="58">
        <v>70004</v>
      </c>
      <c r="C94" s="58">
        <v>15400</v>
      </c>
      <c r="D94" s="58">
        <v>4</v>
      </c>
      <c r="E94" s="58">
        <v>30</v>
      </c>
      <c r="F94" s="58">
        <v>29</v>
      </c>
      <c r="G94" s="58">
        <v>0</v>
      </c>
    </row>
    <row r="95" spans="1:7">
      <c r="A95" s="58">
        <v>100094</v>
      </c>
      <c r="B95" s="58">
        <v>70004</v>
      </c>
      <c r="C95" s="58">
        <v>15600</v>
      </c>
      <c r="D95" s="58">
        <v>2</v>
      </c>
      <c r="E95" s="58">
        <v>30</v>
      </c>
      <c r="F95" s="58">
        <v>26</v>
      </c>
      <c r="G95" s="58">
        <v>0</v>
      </c>
    </row>
    <row r="96" spans="1:7">
      <c r="A96" s="58">
        <v>100095</v>
      </c>
      <c r="B96" s="58">
        <v>70004</v>
      </c>
      <c r="C96" s="58">
        <v>15600</v>
      </c>
      <c r="D96" s="58">
        <v>2</v>
      </c>
      <c r="E96" s="58">
        <v>30</v>
      </c>
      <c r="F96" s="58">
        <v>23</v>
      </c>
      <c r="G96" s="58">
        <v>0</v>
      </c>
    </row>
    <row r="97" spans="1:7">
      <c r="A97" s="58">
        <v>100096</v>
      </c>
      <c r="B97" s="58">
        <v>70004</v>
      </c>
      <c r="C97" s="58">
        <v>15400</v>
      </c>
      <c r="D97" s="58">
        <v>4</v>
      </c>
      <c r="E97" s="58">
        <v>30</v>
      </c>
      <c r="F97" s="58">
        <v>20</v>
      </c>
      <c r="G97" s="58">
        <v>0</v>
      </c>
    </row>
    <row r="98" spans="1:7">
      <c r="A98" s="58">
        <v>100097</v>
      </c>
      <c r="B98" s="58">
        <v>70004</v>
      </c>
      <c r="C98" s="58">
        <v>15300</v>
      </c>
      <c r="D98" s="58">
        <v>8</v>
      </c>
      <c r="E98" s="58">
        <v>27</v>
      </c>
      <c r="F98" s="58">
        <v>20</v>
      </c>
      <c r="G98" s="58">
        <v>0</v>
      </c>
    </row>
    <row r="99" spans="1:7">
      <c r="A99" s="58">
        <v>100098</v>
      </c>
      <c r="B99" s="58">
        <v>70004</v>
      </c>
      <c r="C99" s="58">
        <v>15300</v>
      </c>
      <c r="D99" s="58">
        <v>8</v>
      </c>
      <c r="E99" s="58">
        <v>24</v>
      </c>
      <c r="F99" s="58">
        <v>20</v>
      </c>
      <c r="G99" s="58">
        <v>0</v>
      </c>
    </row>
    <row r="100" spans="1:7">
      <c r="A100" s="58">
        <v>100099</v>
      </c>
      <c r="B100" s="58">
        <v>70004</v>
      </c>
      <c r="C100" s="58">
        <v>15400</v>
      </c>
      <c r="D100" s="58">
        <v>4</v>
      </c>
      <c r="E100" s="58">
        <v>21</v>
      </c>
      <c r="F100" s="58">
        <v>20</v>
      </c>
      <c r="G100" s="58">
        <v>0</v>
      </c>
    </row>
    <row r="101" spans="1:7">
      <c r="A101" s="58">
        <v>100100</v>
      </c>
      <c r="B101" s="58">
        <v>70004</v>
      </c>
      <c r="C101" s="58">
        <v>15600</v>
      </c>
      <c r="D101" s="58">
        <v>2</v>
      </c>
      <c r="E101" s="58">
        <v>21</v>
      </c>
      <c r="F101" s="58">
        <v>23</v>
      </c>
      <c r="G101" s="58">
        <v>0</v>
      </c>
    </row>
    <row r="102" spans="1:7">
      <c r="A102" s="58">
        <v>100101</v>
      </c>
      <c r="B102" s="58">
        <v>70004</v>
      </c>
      <c r="C102" s="58">
        <v>15600</v>
      </c>
      <c r="D102" s="58">
        <v>2</v>
      </c>
      <c r="E102" s="58">
        <v>21</v>
      </c>
      <c r="F102" s="58">
        <v>26</v>
      </c>
      <c r="G102" s="58">
        <v>0</v>
      </c>
    </row>
    <row r="103" spans="1:7">
      <c r="A103" s="58">
        <v>100102</v>
      </c>
      <c r="B103" s="58">
        <v>70004</v>
      </c>
      <c r="C103" s="58">
        <v>15300</v>
      </c>
      <c r="D103" s="58">
        <v>8</v>
      </c>
      <c r="E103" s="58">
        <v>18</v>
      </c>
      <c r="F103" s="58">
        <v>31</v>
      </c>
      <c r="G103" s="58">
        <v>0</v>
      </c>
    </row>
    <row r="104" spans="1:7">
      <c r="A104" s="58">
        <v>100103</v>
      </c>
      <c r="B104" s="58">
        <v>70004</v>
      </c>
      <c r="C104" s="58">
        <v>10600</v>
      </c>
      <c r="D104" s="58">
        <v>8</v>
      </c>
      <c r="E104" s="58">
        <v>18</v>
      </c>
      <c r="F104" s="58">
        <v>28</v>
      </c>
      <c r="G104" s="58">
        <v>0</v>
      </c>
    </row>
    <row r="105" spans="1:7">
      <c r="A105" s="58">
        <v>100104</v>
      </c>
      <c r="B105" s="58">
        <v>70004</v>
      </c>
      <c r="C105" s="58">
        <v>10600</v>
      </c>
      <c r="D105" s="58">
        <v>8</v>
      </c>
      <c r="E105" s="58">
        <v>18</v>
      </c>
      <c r="F105" s="58">
        <v>25</v>
      </c>
      <c r="G105" s="58">
        <v>1</v>
      </c>
    </row>
    <row r="106" spans="1:7">
      <c r="A106" s="58">
        <v>100105</v>
      </c>
      <c r="B106" s="58">
        <v>70004</v>
      </c>
      <c r="C106" s="58">
        <v>10600</v>
      </c>
      <c r="D106" s="58">
        <v>8</v>
      </c>
      <c r="E106" s="58">
        <v>18</v>
      </c>
      <c r="F106" s="58">
        <v>22</v>
      </c>
      <c r="G106" s="58">
        <v>1</v>
      </c>
    </row>
    <row r="107" spans="1:7">
      <c r="A107" s="58">
        <v>100106</v>
      </c>
      <c r="B107" s="58">
        <v>70004</v>
      </c>
      <c r="C107" s="58">
        <v>15300</v>
      </c>
      <c r="D107" s="58">
        <v>8</v>
      </c>
      <c r="E107" s="58">
        <v>18</v>
      </c>
      <c r="F107" s="58">
        <v>19</v>
      </c>
      <c r="G107" s="58">
        <v>0</v>
      </c>
    </row>
    <row r="108" spans="1:7">
      <c r="A108" s="58">
        <v>100107</v>
      </c>
      <c r="B108" s="58">
        <v>70004</v>
      </c>
      <c r="C108" s="58">
        <v>15300</v>
      </c>
      <c r="D108" s="58">
        <v>8</v>
      </c>
      <c r="E108" s="58">
        <v>33</v>
      </c>
      <c r="F108" s="58">
        <v>31</v>
      </c>
      <c r="G108" s="58">
        <v>0</v>
      </c>
    </row>
    <row r="109" spans="1:7">
      <c r="A109" s="58">
        <v>100108</v>
      </c>
      <c r="B109" s="58">
        <v>70004</v>
      </c>
      <c r="C109" s="58">
        <v>10700</v>
      </c>
      <c r="D109" s="58">
        <v>4</v>
      </c>
      <c r="E109" s="58">
        <v>33</v>
      </c>
      <c r="F109" s="58">
        <v>28</v>
      </c>
      <c r="G109" s="58">
        <v>1</v>
      </c>
    </row>
    <row r="110" spans="1:7">
      <c r="A110" s="58">
        <v>100109</v>
      </c>
      <c r="B110" s="58">
        <v>70004</v>
      </c>
      <c r="C110" s="58">
        <v>10700</v>
      </c>
      <c r="D110" s="58">
        <v>4</v>
      </c>
      <c r="E110" s="58">
        <v>33</v>
      </c>
      <c r="F110" s="58">
        <v>25</v>
      </c>
      <c r="G110" s="58">
        <v>1</v>
      </c>
    </row>
    <row r="111" spans="1:7">
      <c r="A111" s="58">
        <v>100110</v>
      </c>
      <c r="B111" s="58">
        <v>70004</v>
      </c>
      <c r="C111" s="58">
        <v>10700</v>
      </c>
      <c r="D111" s="58">
        <v>4</v>
      </c>
      <c r="E111" s="58">
        <v>33</v>
      </c>
      <c r="F111" s="58">
        <v>22</v>
      </c>
      <c r="G111" s="58">
        <v>1</v>
      </c>
    </row>
    <row r="112" spans="1:7">
      <c r="A112" s="58">
        <v>100111</v>
      </c>
      <c r="B112" s="58">
        <v>70004</v>
      </c>
      <c r="C112" s="58">
        <v>15300</v>
      </c>
      <c r="D112" s="58">
        <v>8</v>
      </c>
      <c r="E112" s="58">
        <v>33</v>
      </c>
      <c r="F112" s="58">
        <v>19</v>
      </c>
      <c r="G112" s="58">
        <v>0</v>
      </c>
    </row>
    <row r="113" spans="1:7">
      <c r="A113" s="58">
        <v>100112</v>
      </c>
      <c r="B113" s="58">
        <v>70004</v>
      </c>
      <c r="C113" s="58">
        <v>15400</v>
      </c>
      <c r="D113" s="58">
        <v>4</v>
      </c>
      <c r="E113" s="58">
        <v>19</v>
      </c>
      <c r="F113" s="58">
        <v>34</v>
      </c>
      <c r="G113" s="58">
        <v>0</v>
      </c>
    </row>
    <row r="114" spans="1:7">
      <c r="A114" s="58">
        <v>100113</v>
      </c>
      <c r="B114" s="58">
        <v>70004</v>
      </c>
      <c r="C114" s="58">
        <v>11000</v>
      </c>
      <c r="D114" s="58">
        <v>4</v>
      </c>
      <c r="E114" s="58">
        <v>22</v>
      </c>
      <c r="F114" s="58">
        <v>34</v>
      </c>
      <c r="G114" s="58">
        <v>1</v>
      </c>
    </row>
    <row r="115" spans="1:7">
      <c r="A115" s="58">
        <v>100114</v>
      </c>
      <c r="B115" s="58">
        <v>70004</v>
      </c>
      <c r="C115" s="58">
        <v>10700</v>
      </c>
      <c r="D115" s="58">
        <v>4</v>
      </c>
      <c r="E115" s="58">
        <v>25</v>
      </c>
      <c r="F115" s="58">
        <v>34</v>
      </c>
      <c r="G115" s="58">
        <v>1</v>
      </c>
    </row>
    <row r="116" spans="1:7">
      <c r="A116" s="58">
        <v>100115</v>
      </c>
      <c r="B116" s="58">
        <v>70004</v>
      </c>
      <c r="C116" s="58">
        <v>11000</v>
      </c>
      <c r="D116" s="58">
        <v>4</v>
      </c>
      <c r="E116" s="58">
        <v>28</v>
      </c>
      <c r="F116" s="58">
        <v>34</v>
      </c>
      <c r="G116" s="58">
        <v>1</v>
      </c>
    </row>
    <row r="117" spans="1:7">
      <c r="A117" s="58">
        <v>100116</v>
      </c>
      <c r="B117" s="58">
        <v>70004</v>
      </c>
      <c r="C117" s="58">
        <v>15400</v>
      </c>
      <c r="D117" s="58">
        <v>4</v>
      </c>
      <c r="E117" s="58">
        <v>31</v>
      </c>
      <c r="F117" s="58">
        <v>34</v>
      </c>
      <c r="G117" s="58">
        <v>0</v>
      </c>
    </row>
    <row r="118" spans="1:7">
      <c r="A118" s="58">
        <v>100117</v>
      </c>
      <c r="B118" s="58">
        <v>70004</v>
      </c>
      <c r="C118" s="58">
        <v>15400</v>
      </c>
      <c r="D118" s="58">
        <v>4</v>
      </c>
      <c r="E118" s="58">
        <v>19</v>
      </c>
      <c r="F118" s="58">
        <v>16</v>
      </c>
      <c r="G118" s="58">
        <v>0</v>
      </c>
    </row>
    <row r="119" spans="1:7">
      <c r="A119" s="58">
        <v>100118</v>
      </c>
      <c r="B119" s="58">
        <v>70004</v>
      </c>
      <c r="C119" s="58">
        <v>11000</v>
      </c>
      <c r="D119" s="58">
        <v>4</v>
      </c>
      <c r="E119" s="58">
        <v>22</v>
      </c>
      <c r="F119" s="58">
        <v>16</v>
      </c>
      <c r="G119" s="58">
        <v>0</v>
      </c>
    </row>
    <row r="120" spans="1:7">
      <c r="A120" s="58">
        <v>100119</v>
      </c>
      <c r="B120" s="58">
        <v>70004</v>
      </c>
      <c r="C120" s="58">
        <v>10700</v>
      </c>
      <c r="D120" s="58">
        <v>4</v>
      </c>
      <c r="E120" s="58">
        <v>25</v>
      </c>
      <c r="F120" s="58">
        <v>16</v>
      </c>
      <c r="G120" s="58">
        <v>1</v>
      </c>
    </row>
    <row r="121" spans="1:7">
      <c r="A121" s="58">
        <v>100120</v>
      </c>
      <c r="B121" s="58">
        <v>70004</v>
      </c>
      <c r="C121" s="58">
        <v>11000</v>
      </c>
      <c r="D121" s="58">
        <v>4</v>
      </c>
      <c r="E121" s="58">
        <v>28</v>
      </c>
      <c r="F121" s="58">
        <v>16</v>
      </c>
      <c r="G121" s="58">
        <v>0</v>
      </c>
    </row>
    <row r="122" spans="1:7">
      <c r="A122" s="58">
        <v>100121</v>
      </c>
      <c r="B122" s="58">
        <v>70004</v>
      </c>
      <c r="C122" s="58">
        <v>15400</v>
      </c>
      <c r="D122" s="58">
        <v>4</v>
      </c>
      <c r="E122" s="58">
        <v>31</v>
      </c>
      <c r="F122" s="58">
        <v>16</v>
      </c>
      <c r="G122" s="58">
        <v>0</v>
      </c>
    </row>
    <row r="123" spans="1:7">
      <c r="A123" s="58">
        <v>100122</v>
      </c>
      <c r="B123" s="58">
        <v>70004</v>
      </c>
      <c r="C123" s="58">
        <v>15300</v>
      </c>
      <c r="D123" s="58">
        <v>8</v>
      </c>
      <c r="E123" s="58">
        <v>22</v>
      </c>
      <c r="F123" s="58">
        <v>37</v>
      </c>
      <c r="G123" s="58">
        <v>0</v>
      </c>
    </row>
    <row r="124" spans="1:7">
      <c r="A124" s="58">
        <v>100123</v>
      </c>
      <c r="B124" s="58">
        <v>70004</v>
      </c>
      <c r="C124" s="58">
        <v>15300</v>
      </c>
      <c r="D124" s="58">
        <v>8</v>
      </c>
      <c r="E124" s="58">
        <v>28</v>
      </c>
      <c r="F124" s="58">
        <v>37</v>
      </c>
      <c r="G124" s="58">
        <v>0</v>
      </c>
    </row>
    <row r="125" spans="1:7">
      <c r="A125" s="58">
        <v>100124</v>
      </c>
      <c r="B125" s="58">
        <v>70004</v>
      </c>
      <c r="C125" s="58">
        <v>15300</v>
      </c>
      <c r="D125" s="58">
        <v>8</v>
      </c>
      <c r="E125" s="58">
        <v>22</v>
      </c>
      <c r="F125" s="58">
        <v>13</v>
      </c>
      <c r="G125" s="58">
        <v>0</v>
      </c>
    </row>
    <row r="126" spans="1:7">
      <c r="A126" s="58">
        <v>100125</v>
      </c>
      <c r="B126" s="58">
        <v>70004</v>
      </c>
      <c r="C126" s="58">
        <v>15300</v>
      </c>
      <c r="D126" s="58">
        <v>8</v>
      </c>
      <c r="E126" s="58">
        <v>28</v>
      </c>
      <c r="F126" s="58">
        <v>13</v>
      </c>
      <c r="G126" s="58">
        <v>0</v>
      </c>
    </row>
    <row r="127" spans="1:7">
      <c r="A127" s="58">
        <v>100126</v>
      </c>
      <c r="B127" s="58">
        <v>70005</v>
      </c>
      <c r="C127" s="58">
        <v>10000</v>
      </c>
      <c r="D127" s="58">
        <v>8</v>
      </c>
      <c r="E127" s="58">
        <v>25</v>
      </c>
      <c r="F127" s="58">
        <v>25</v>
      </c>
      <c r="G127" s="58">
        <v>1</v>
      </c>
    </row>
    <row r="128" spans="1:7">
      <c r="A128" s="58">
        <v>100127</v>
      </c>
      <c r="B128" s="58">
        <v>70005</v>
      </c>
      <c r="C128" s="58">
        <v>15000</v>
      </c>
      <c r="D128" s="58">
        <v>8</v>
      </c>
      <c r="E128" s="58">
        <v>21</v>
      </c>
      <c r="F128" s="58">
        <v>29</v>
      </c>
      <c r="G128" s="58">
        <v>0</v>
      </c>
    </row>
    <row r="129" spans="1:7">
      <c r="A129" s="58">
        <v>100128</v>
      </c>
      <c r="B129" s="58">
        <v>70005</v>
      </c>
      <c r="C129" s="58">
        <v>11000</v>
      </c>
      <c r="D129" s="58">
        <v>4</v>
      </c>
      <c r="E129" s="58">
        <v>21</v>
      </c>
      <c r="F129" s="58">
        <v>26</v>
      </c>
      <c r="G129" s="58">
        <v>0</v>
      </c>
    </row>
    <row r="130" spans="1:7">
      <c r="A130" s="58">
        <v>100129</v>
      </c>
      <c r="B130" s="58">
        <v>70005</v>
      </c>
      <c r="C130" s="58">
        <v>15300</v>
      </c>
      <c r="D130" s="58">
        <v>8</v>
      </c>
      <c r="E130" s="58">
        <v>21</v>
      </c>
      <c r="F130" s="58">
        <v>23</v>
      </c>
      <c r="G130" s="58">
        <v>0</v>
      </c>
    </row>
    <row r="131" spans="1:7">
      <c r="A131" s="58">
        <v>100130</v>
      </c>
      <c r="B131" s="58">
        <v>70005</v>
      </c>
      <c r="C131" s="58">
        <v>15400</v>
      </c>
      <c r="D131" s="58">
        <v>3</v>
      </c>
      <c r="E131" s="58">
        <v>21</v>
      </c>
      <c r="F131" s="58">
        <v>20</v>
      </c>
      <c r="G131" s="58">
        <v>0</v>
      </c>
    </row>
    <row r="132" spans="1:7">
      <c r="A132" s="58">
        <v>100131</v>
      </c>
      <c r="B132" s="58">
        <v>70005</v>
      </c>
      <c r="C132" s="58">
        <v>10700</v>
      </c>
      <c r="D132" s="58">
        <v>4</v>
      </c>
      <c r="E132" s="58">
        <v>24</v>
      </c>
      <c r="F132" s="58">
        <v>20</v>
      </c>
      <c r="G132" s="58">
        <v>1</v>
      </c>
    </row>
    <row r="133" spans="1:7">
      <c r="A133" s="58">
        <v>100132</v>
      </c>
      <c r="B133" s="58">
        <v>70005</v>
      </c>
      <c r="C133" s="58">
        <v>15100</v>
      </c>
      <c r="D133" s="58">
        <v>8</v>
      </c>
      <c r="E133" s="58">
        <v>27</v>
      </c>
      <c r="F133" s="58">
        <v>20</v>
      </c>
      <c r="G133" s="58">
        <v>0</v>
      </c>
    </row>
    <row r="134" spans="1:7">
      <c r="A134" s="58">
        <v>100133</v>
      </c>
      <c r="B134" s="58">
        <v>70005</v>
      </c>
      <c r="C134" s="58">
        <v>15400</v>
      </c>
      <c r="D134" s="58">
        <v>4</v>
      </c>
      <c r="E134" s="58">
        <v>30</v>
      </c>
      <c r="F134" s="58">
        <v>20</v>
      </c>
      <c r="G134" s="58">
        <v>0</v>
      </c>
    </row>
    <row r="135" spans="1:7">
      <c r="A135" s="58">
        <v>100134</v>
      </c>
      <c r="B135" s="58">
        <v>70005</v>
      </c>
      <c r="C135" s="58">
        <v>15000</v>
      </c>
      <c r="D135" s="58">
        <v>8</v>
      </c>
      <c r="E135" s="58">
        <v>30</v>
      </c>
      <c r="F135" s="58">
        <v>23</v>
      </c>
      <c r="G135" s="58">
        <v>0</v>
      </c>
    </row>
    <row r="136" spans="1:7">
      <c r="A136" s="58">
        <v>100135</v>
      </c>
      <c r="B136" s="58">
        <v>70005</v>
      </c>
      <c r="C136" s="58">
        <v>10700</v>
      </c>
      <c r="D136" s="58">
        <v>4</v>
      </c>
      <c r="E136" s="58">
        <v>30</v>
      </c>
      <c r="F136" s="58">
        <v>26</v>
      </c>
      <c r="G136" s="58">
        <v>1</v>
      </c>
    </row>
    <row r="137" spans="1:7">
      <c r="A137" s="58">
        <v>100136</v>
      </c>
      <c r="B137" s="58">
        <v>70005</v>
      </c>
      <c r="C137" s="58">
        <v>15400</v>
      </c>
      <c r="D137" s="58">
        <v>4</v>
      </c>
      <c r="E137" s="58">
        <v>30</v>
      </c>
      <c r="F137" s="58">
        <v>29</v>
      </c>
      <c r="G137" s="58">
        <v>0</v>
      </c>
    </row>
    <row r="138" spans="1:7">
      <c r="A138" s="58">
        <v>100137</v>
      </c>
      <c r="B138" s="58">
        <v>70005</v>
      </c>
      <c r="C138" s="58">
        <v>11000</v>
      </c>
      <c r="D138" s="58">
        <v>4</v>
      </c>
      <c r="E138" s="58">
        <v>27</v>
      </c>
      <c r="F138" s="58">
        <v>29</v>
      </c>
      <c r="G138" s="58">
        <v>1</v>
      </c>
    </row>
    <row r="139" spans="1:7">
      <c r="A139" s="58">
        <v>100138</v>
      </c>
      <c r="B139" s="58">
        <v>70005</v>
      </c>
      <c r="C139" s="58">
        <v>15600</v>
      </c>
      <c r="D139" s="58">
        <v>2</v>
      </c>
      <c r="E139" s="58">
        <v>24</v>
      </c>
      <c r="F139" s="58">
        <v>29</v>
      </c>
      <c r="G139" s="58">
        <v>0</v>
      </c>
    </row>
    <row r="140" spans="1:7">
      <c r="A140" s="58">
        <v>100139</v>
      </c>
      <c r="B140" s="58">
        <v>70005</v>
      </c>
      <c r="C140" s="58">
        <v>15000</v>
      </c>
      <c r="D140" s="58">
        <v>6</v>
      </c>
      <c r="E140" s="58">
        <v>13</v>
      </c>
      <c r="F140" s="58">
        <v>33</v>
      </c>
      <c r="G140" s="58">
        <v>0</v>
      </c>
    </row>
    <row r="141" spans="1:7">
      <c r="A141" s="58">
        <v>100140</v>
      </c>
      <c r="B141" s="58">
        <v>70005</v>
      </c>
      <c r="C141" s="58">
        <v>15600</v>
      </c>
      <c r="D141" s="58">
        <v>2</v>
      </c>
      <c r="E141" s="58">
        <v>16</v>
      </c>
      <c r="F141" s="58">
        <v>33</v>
      </c>
      <c r="G141" s="58">
        <v>1</v>
      </c>
    </row>
    <row r="142" spans="1:7">
      <c r="A142" s="58">
        <v>100141</v>
      </c>
      <c r="B142" s="58">
        <v>70005</v>
      </c>
      <c r="C142" s="58">
        <v>15300</v>
      </c>
      <c r="D142" s="58">
        <v>6</v>
      </c>
      <c r="E142" s="58">
        <v>19</v>
      </c>
      <c r="F142" s="58">
        <v>33</v>
      </c>
      <c r="G142" s="58">
        <v>0</v>
      </c>
    </row>
    <row r="143" spans="1:7">
      <c r="A143" s="58">
        <v>100142</v>
      </c>
      <c r="B143" s="58">
        <v>70005</v>
      </c>
      <c r="C143" s="58">
        <v>10600</v>
      </c>
      <c r="D143" s="58">
        <v>8</v>
      </c>
      <c r="E143" s="58">
        <v>22</v>
      </c>
      <c r="F143" s="58">
        <v>33</v>
      </c>
      <c r="G143" s="58">
        <v>1</v>
      </c>
    </row>
    <row r="144" spans="1:7">
      <c r="A144" s="58">
        <v>100143</v>
      </c>
      <c r="B144" s="58">
        <v>70005</v>
      </c>
      <c r="C144" s="58">
        <v>15000</v>
      </c>
      <c r="D144" s="58">
        <v>8</v>
      </c>
      <c r="E144" s="58">
        <v>25</v>
      </c>
      <c r="F144" s="58">
        <v>33</v>
      </c>
      <c r="G144" s="58">
        <v>0</v>
      </c>
    </row>
    <row r="145" spans="1:7">
      <c r="A145" s="58">
        <v>100144</v>
      </c>
      <c r="B145" s="58">
        <v>70005</v>
      </c>
      <c r="C145" s="58">
        <v>10600</v>
      </c>
      <c r="D145" s="58">
        <v>8</v>
      </c>
      <c r="E145" s="58">
        <v>28</v>
      </c>
      <c r="F145" s="58">
        <v>33</v>
      </c>
      <c r="G145" s="58">
        <v>1</v>
      </c>
    </row>
    <row r="146" spans="1:7">
      <c r="A146" s="58">
        <v>100145</v>
      </c>
      <c r="B146" s="58">
        <v>70005</v>
      </c>
      <c r="C146" s="58">
        <v>15400</v>
      </c>
      <c r="D146" s="58">
        <v>3</v>
      </c>
      <c r="E146" s="58">
        <v>31</v>
      </c>
      <c r="F146" s="58">
        <v>33</v>
      </c>
      <c r="G146" s="58">
        <v>0</v>
      </c>
    </row>
    <row r="147" spans="1:7">
      <c r="A147" s="58">
        <v>100146</v>
      </c>
      <c r="B147" s="58">
        <v>70005</v>
      </c>
      <c r="C147" s="58">
        <v>15700</v>
      </c>
      <c r="D147" s="58">
        <v>2</v>
      </c>
      <c r="E147" s="58">
        <v>34</v>
      </c>
      <c r="F147" s="58">
        <v>33</v>
      </c>
      <c r="G147" s="58">
        <v>0</v>
      </c>
    </row>
    <row r="148" spans="1:7">
      <c r="A148" s="58">
        <v>100147</v>
      </c>
      <c r="B148" s="58">
        <v>70005</v>
      </c>
      <c r="C148" s="58">
        <v>15100</v>
      </c>
      <c r="D148" s="58">
        <v>6</v>
      </c>
      <c r="E148" s="58">
        <v>38</v>
      </c>
      <c r="F148" s="58">
        <v>33</v>
      </c>
      <c r="G148" s="58">
        <v>0</v>
      </c>
    </row>
    <row r="149" spans="1:7">
      <c r="A149" s="58">
        <v>100148</v>
      </c>
      <c r="B149" s="58">
        <v>70005</v>
      </c>
      <c r="C149" s="58">
        <v>15300</v>
      </c>
      <c r="D149" s="58">
        <v>6</v>
      </c>
      <c r="E149" s="58">
        <v>13</v>
      </c>
      <c r="F149" s="58">
        <v>30</v>
      </c>
      <c r="G149" s="58">
        <v>0</v>
      </c>
    </row>
    <row r="150" spans="1:7">
      <c r="A150" s="58">
        <v>100149</v>
      </c>
      <c r="B150" s="58">
        <v>70005</v>
      </c>
      <c r="C150" s="58">
        <v>15400</v>
      </c>
      <c r="D150" s="58">
        <v>2</v>
      </c>
      <c r="E150" s="58">
        <v>13</v>
      </c>
      <c r="F150" s="58">
        <v>27</v>
      </c>
      <c r="G150" s="58">
        <v>0</v>
      </c>
    </row>
    <row r="151" spans="1:7">
      <c r="A151" s="58">
        <v>100150</v>
      </c>
      <c r="B151" s="58">
        <v>70005</v>
      </c>
      <c r="C151" s="58">
        <v>10600</v>
      </c>
      <c r="D151" s="58">
        <v>6</v>
      </c>
      <c r="E151" s="58">
        <v>13</v>
      </c>
      <c r="F151" s="58">
        <v>24</v>
      </c>
      <c r="G151" s="58">
        <v>1</v>
      </c>
    </row>
    <row r="152" spans="1:7">
      <c r="A152" s="58">
        <v>100151</v>
      </c>
      <c r="B152" s="58">
        <v>70005</v>
      </c>
      <c r="C152" s="58">
        <v>15000</v>
      </c>
      <c r="D152" s="58">
        <v>6</v>
      </c>
      <c r="E152" s="58">
        <v>13</v>
      </c>
      <c r="F152" s="58">
        <v>21</v>
      </c>
      <c r="G152" s="58">
        <v>0</v>
      </c>
    </row>
    <row r="153" spans="1:7">
      <c r="A153" s="58">
        <v>100152</v>
      </c>
      <c r="B153" s="58">
        <v>70005</v>
      </c>
      <c r="C153" s="58">
        <v>11000</v>
      </c>
      <c r="D153" s="58">
        <v>4</v>
      </c>
      <c r="E153" s="58">
        <v>13</v>
      </c>
      <c r="F153" s="58">
        <v>18</v>
      </c>
      <c r="G153" s="58">
        <v>1</v>
      </c>
    </row>
    <row r="154" spans="1:7">
      <c r="A154" s="58">
        <v>100153</v>
      </c>
      <c r="B154" s="58">
        <v>70005</v>
      </c>
      <c r="C154" s="58">
        <v>15100</v>
      </c>
      <c r="D154" s="58">
        <v>6</v>
      </c>
      <c r="E154" s="58">
        <v>13</v>
      </c>
      <c r="F154" s="58">
        <v>15</v>
      </c>
      <c r="G154" s="58">
        <v>0</v>
      </c>
    </row>
    <row r="155" spans="1:7">
      <c r="A155" s="58">
        <v>100154</v>
      </c>
      <c r="B155" s="58">
        <v>70005</v>
      </c>
      <c r="C155" s="58">
        <v>15700</v>
      </c>
      <c r="D155" s="58">
        <v>2</v>
      </c>
      <c r="E155" s="58">
        <v>16</v>
      </c>
      <c r="F155" s="58">
        <v>30</v>
      </c>
      <c r="G155" s="58">
        <v>0</v>
      </c>
    </row>
    <row r="156" spans="1:7">
      <c r="A156" s="58">
        <v>100155</v>
      </c>
      <c r="B156" s="58">
        <v>70005</v>
      </c>
      <c r="C156" s="58">
        <v>11000</v>
      </c>
      <c r="D156" s="58">
        <v>4</v>
      </c>
      <c r="E156" s="58">
        <v>16</v>
      </c>
      <c r="F156" s="58">
        <v>27</v>
      </c>
      <c r="G156" s="58">
        <v>1</v>
      </c>
    </row>
    <row r="157" spans="1:7">
      <c r="A157" s="58">
        <v>100156</v>
      </c>
      <c r="B157" s="58">
        <v>70005</v>
      </c>
      <c r="C157" s="58">
        <v>15300</v>
      </c>
      <c r="D157" s="58">
        <v>6</v>
      </c>
      <c r="E157" s="58">
        <v>16</v>
      </c>
      <c r="F157" s="58">
        <v>24</v>
      </c>
      <c r="G157" s="58">
        <v>0</v>
      </c>
    </row>
    <row r="158" spans="1:7">
      <c r="A158" s="58">
        <v>100157</v>
      </c>
      <c r="B158" s="58">
        <v>70005</v>
      </c>
      <c r="C158" s="58">
        <v>10600</v>
      </c>
      <c r="D158" s="58">
        <v>8</v>
      </c>
      <c r="E158" s="58">
        <v>16</v>
      </c>
      <c r="F158" s="58">
        <v>21</v>
      </c>
      <c r="G158" s="58">
        <v>1</v>
      </c>
    </row>
    <row r="159" spans="1:7">
      <c r="A159" s="58">
        <v>100158</v>
      </c>
      <c r="B159" s="58">
        <v>70005</v>
      </c>
      <c r="C159" s="58">
        <v>15000</v>
      </c>
      <c r="D159" s="58">
        <v>8</v>
      </c>
      <c r="E159" s="58">
        <v>16</v>
      </c>
      <c r="F159" s="58">
        <v>18</v>
      </c>
      <c r="G159" s="58">
        <v>0</v>
      </c>
    </row>
    <row r="160" spans="1:7">
      <c r="A160" s="58">
        <v>100159</v>
      </c>
      <c r="B160" s="58">
        <v>70005</v>
      </c>
      <c r="C160" s="58">
        <v>15700</v>
      </c>
      <c r="D160" s="58">
        <v>2</v>
      </c>
      <c r="E160" s="58">
        <v>16</v>
      </c>
      <c r="F160" s="58">
        <v>15</v>
      </c>
      <c r="G160" s="58">
        <v>0</v>
      </c>
    </row>
    <row r="161" spans="1:7">
      <c r="A161" s="58">
        <v>100160</v>
      </c>
      <c r="B161" s="58">
        <v>70005</v>
      </c>
      <c r="C161" s="58">
        <v>10600</v>
      </c>
      <c r="D161" s="58">
        <v>6</v>
      </c>
      <c r="E161" s="58">
        <v>19</v>
      </c>
      <c r="F161" s="58">
        <v>15</v>
      </c>
      <c r="G161" s="58">
        <v>1</v>
      </c>
    </row>
    <row r="162" spans="1:7">
      <c r="A162" s="58">
        <v>100161</v>
      </c>
      <c r="B162" s="58">
        <v>70005</v>
      </c>
      <c r="C162" s="58">
        <v>10600</v>
      </c>
      <c r="D162" s="58">
        <v>6</v>
      </c>
      <c r="E162" s="58">
        <v>22</v>
      </c>
      <c r="F162" s="58">
        <v>15</v>
      </c>
      <c r="G162" s="58">
        <v>1</v>
      </c>
    </row>
    <row r="163" spans="1:7">
      <c r="A163" s="58">
        <v>100162</v>
      </c>
      <c r="B163" s="58">
        <v>70005</v>
      </c>
      <c r="C163" s="58">
        <v>10700</v>
      </c>
      <c r="D163" s="58">
        <v>4</v>
      </c>
      <c r="E163" s="58">
        <v>25</v>
      </c>
      <c r="F163" s="58">
        <v>15</v>
      </c>
      <c r="G163" s="58">
        <v>1</v>
      </c>
    </row>
    <row r="164" spans="1:7">
      <c r="A164" s="58">
        <v>100163</v>
      </c>
      <c r="B164" s="58">
        <v>70005</v>
      </c>
      <c r="C164" s="58">
        <v>11000</v>
      </c>
      <c r="D164" s="58">
        <v>4</v>
      </c>
      <c r="E164" s="58">
        <v>28</v>
      </c>
      <c r="F164" s="58">
        <v>15</v>
      </c>
      <c r="G164" s="58">
        <v>1</v>
      </c>
    </row>
    <row r="165" spans="1:7">
      <c r="A165" s="58">
        <v>100164</v>
      </c>
      <c r="B165" s="58">
        <v>70005</v>
      </c>
      <c r="C165" s="58">
        <v>15100</v>
      </c>
      <c r="D165" s="58">
        <v>6</v>
      </c>
      <c r="E165" s="58">
        <v>31</v>
      </c>
      <c r="F165" s="58">
        <v>15</v>
      </c>
      <c r="G165" s="58">
        <v>0</v>
      </c>
    </row>
    <row r="166" spans="1:7">
      <c r="A166" s="58">
        <v>100165</v>
      </c>
      <c r="B166" s="58">
        <v>70005</v>
      </c>
      <c r="C166" s="58">
        <v>15700</v>
      </c>
      <c r="D166" s="58">
        <v>2</v>
      </c>
      <c r="E166" s="58">
        <v>34</v>
      </c>
      <c r="F166" s="58">
        <v>15</v>
      </c>
      <c r="G166" s="58">
        <v>0</v>
      </c>
    </row>
    <row r="167" spans="1:7">
      <c r="A167" s="58">
        <v>100166</v>
      </c>
      <c r="B167" s="58">
        <v>70005</v>
      </c>
      <c r="C167" s="58">
        <v>11000</v>
      </c>
      <c r="D167" s="58">
        <v>4</v>
      </c>
      <c r="E167" s="58">
        <v>38</v>
      </c>
      <c r="F167" s="58">
        <v>15</v>
      </c>
      <c r="G167" s="58">
        <v>1</v>
      </c>
    </row>
    <row r="168" spans="1:7">
      <c r="A168" s="58">
        <v>100167</v>
      </c>
      <c r="B168" s="58">
        <v>70005</v>
      </c>
      <c r="C168" s="58">
        <v>15300</v>
      </c>
      <c r="D168" s="58">
        <v>6</v>
      </c>
      <c r="E168" s="58">
        <v>34</v>
      </c>
      <c r="F168" s="58">
        <v>18</v>
      </c>
      <c r="G168" s="58">
        <v>0</v>
      </c>
    </row>
    <row r="169" spans="1:7">
      <c r="A169" s="58">
        <v>100168</v>
      </c>
      <c r="B169" s="58">
        <v>70005</v>
      </c>
      <c r="C169" s="58">
        <v>10600</v>
      </c>
      <c r="D169" s="58">
        <v>6</v>
      </c>
      <c r="E169" s="58">
        <v>34</v>
      </c>
      <c r="F169" s="58">
        <v>21</v>
      </c>
      <c r="G169" s="58">
        <v>0</v>
      </c>
    </row>
    <row r="170" spans="1:7">
      <c r="A170" s="58">
        <v>100169</v>
      </c>
      <c r="B170" s="58">
        <v>70005</v>
      </c>
      <c r="C170" s="58">
        <v>15100</v>
      </c>
      <c r="D170" s="58">
        <v>6</v>
      </c>
      <c r="E170" s="58">
        <v>34</v>
      </c>
      <c r="F170" s="58">
        <v>24</v>
      </c>
      <c r="G170" s="58">
        <v>0</v>
      </c>
    </row>
    <row r="171" spans="1:7">
      <c r="A171" s="58">
        <v>100170</v>
      </c>
      <c r="B171" s="58">
        <v>70005</v>
      </c>
      <c r="C171" s="58">
        <v>15000</v>
      </c>
      <c r="D171" s="58">
        <v>6</v>
      </c>
      <c r="E171" s="58">
        <v>34</v>
      </c>
      <c r="F171" s="58">
        <v>27</v>
      </c>
      <c r="G171" s="58">
        <v>0</v>
      </c>
    </row>
    <row r="172" spans="1:7">
      <c r="A172" s="58">
        <v>100171</v>
      </c>
      <c r="B172" s="58">
        <v>70005</v>
      </c>
      <c r="C172" s="58">
        <v>10600</v>
      </c>
      <c r="D172" s="58">
        <v>6</v>
      </c>
      <c r="E172" s="58">
        <v>34</v>
      </c>
      <c r="F172" s="58">
        <v>30</v>
      </c>
      <c r="G172" s="58">
        <v>1</v>
      </c>
    </row>
    <row r="173" spans="1:7">
      <c r="A173" s="58">
        <v>100172</v>
      </c>
      <c r="B173" s="58">
        <v>70005</v>
      </c>
      <c r="C173" s="58">
        <v>15400</v>
      </c>
      <c r="D173" s="58">
        <v>4</v>
      </c>
      <c r="E173" s="58">
        <v>38</v>
      </c>
      <c r="F173" s="58">
        <v>30</v>
      </c>
      <c r="G173" s="58">
        <v>0</v>
      </c>
    </row>
    <row r="174" spans="1:7">
      <c r="A174" s="58">
        <v>100173</v>
      </c>
      <c r="B174" s="58">
        <v>70005</v>
      </c>
      <c r="C174" s="58">
        <v>10600</v>
      </c>
      <c r="D174" s="58">
        <v>6</v>
      </c>
      <c r="E174" s="58">
        <v>38</v>
      </c>
      <c r="F174" s="58">
        <v>27</v>
      </c>
      <c r="G174" s="58">
        <v>1</v>
      </c>
    </row>
    <row r="175" spans="1:7">
      <c r="A175" s="58">
        <v>100174</v>
      </c>
      <c r="B175" s="58">
        <v>70005</v>
      </c>
      <c r="C175" s="58">
        <v>15700</v>
      </c>
      <c r="D175" s="58">
        <v>2</v>
      </c>
      <c r="E175" s="58">
        <v>38</v>
      </c>
      <c r="F175" s="58">
        <v>24</v>
      </c>
      <c r="G175" s="58">
        <v>0</v>
      </c>
    </row>
    <row r="176" spans="1:7">
      <c r="A176" s="58">
        <v>100175</v>
      </c>
      <c r="B176" s="58">
        <v>70005</v>
      </c>
      <c r="C176" s="58">
        <v>10600</v>
      </c>
      <c r="D176" s="58">
        <v>6</v>
      </c>
      <c r="E176" s="58">
        <v>38</v>
      </c>
      <c r="F176" s="58">
        <v>21</v>
      </c>
      <c r="G176" s="58">
        <v>1</v>
      </c>
    </row>
    <row r="177" spans="1:7">
      <c r="A177" s="58">
        <v>100176</v>
      </c>
      <c r="B177" s="58">
        <v>70005</v>
      </c>
      <c r="C177" s="58">
        <v>15000</v>
      </c>
      <c r="D177" s="58">
        <v>6</v>
      </c>
      <c r="E177" s="58">
        <v>38</v>
      </c>
      <c r="F177" s="58">
        <v>18</v>
      </c>
      <c r="G177" s="58">
        <v>0</v>
      </c>
    </row>
    <row r="178" spans="1:7">
      <c r="A178" s="58">
        <v>100177</v>
      </c>
      <c r="B178" s="58">
        <v>70005</v>
      </c>
      <c r="C178" s="58">
        <v>10700</v>
      </c>
      <c r="D178" s="58">
        <v>4</v>
      </c>
      <c r="E178" s="58">
        <v>9</v>
      </c>
      <c r="F178" s="58">
        <v>33</v>
      </c>
      <c r="G178" s="58">
        <v>1</v>
      </c>
    </row>
    <row r="179" spans="1:7">
      <c r="A179" s="58">
        <v>100178</v>
      </c>
      <c r="B179" s="58">
        <v>70005</v>
      </c>
      <c r="C179" s="58">
        <v>15100</v>
      </c>
      <c r="D179" s="58">
        <v>6</v>
      </c>
      <c r="E179" s="58">
        <v>9</v>
      </c>
      <c r="F179" s="58">
        <v>30</v>
      </c>
      <c r="G179" s="58">
        <v>0</v>
      </c>
    </row>
    <row r="180" spans="1:7">
      <c r="A180" s="58">
        <v>100179</v>
      </c>
      <c r="B180" s="58">
        <v>70005</v>
      </c>
      <c r="C180" s="58">
        <v>10600</v>
      </c>
      <c r="D180" s="58">
        <v>4</v>
      </c>
      <c r="E180" s="58">
        <v>9</v>
      </c>
      <c r="F180" s="58">
        <v>27</v>
      </c>
      <c r="G180" s="58">
        <v>1</v>
      </c>
    </row>
    <row r="181" spans="1:7">
      <c r="A181" s="58">
        <v>100180</v>
      </c>
      <c r="B181" s="58">
        <v>70005</v>
      </c>
      <c r="C181" s="58">
        <v>15300</v>
      </c>
      <c r="D181" s="58">
        <v>6</v>
      </c>
      <c r="E181" s="58">
        <v>9</v>
      </c>
      <c r="F181" s="58">
        <v>24</v>
      </c>
      <c r="G181" s="58">
        <v>0</v>
      </c>
    </row>
    <row r="182" spans="1:7">
      <c r="A182" s="58">
        <v>100181</v>
      </c>
      <c r="B182" s="58">
        <v>70005</v>
      </c>
      <c r="C182" s="58">
        <v>11000</v>
      </c>
      <c r="D182" s="58">
        <v>4</v>
      </c>
      <c r="E182" s="58">
        <v>9</v>
      </c>
      <c r="F182" s="58">
        <v>21</v>
      </c>
      <c r="G182" s="58">
        <v>0</v>
      </c>
    </row>
    <row r="183" spans="1:7">
      <c r="A183" s="58">
        <v>100182</v>
      </c>
      <c r="B183" s="58">
        <v>70005</v>
      </c>
      <c r="C183" s="58">
        <v>15100</v>
      </c>
      <c r="D183" s="58">
        <v>6</v>
      </c>
      <c r="E183" s="58">
        <v>9</v>
      </c>
      <c r="F183" s="58">
        <v>18</v>
      </c>
      <c r="G183" s="58">
        <v>1</v>
      </c>
    </row>
    <row r="184" spans="1:7">
      <c r="A184" s="58">
        <v>100183</v>
      </c>
      <c r="B184" s="58">
        <v>70005</v>
      </c>
      <c r="C184" s="58">
        <v>15100</v>
      </c>
      <c r="D184" s="58">
        <v>6</v>
      </c>
      <c r="E184" s="58">
        <v>9</v>
      </c>
      <c r="F184" s="58">
        <v>15</v>
      </c>
      <c r="G184" s="58">
        <v>0</v>
      </c>
    </row>
  </sheetData>
  <phoneticPr fontId="3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H11"/>
  <sheetViews>
    <sheetView topLeftCell="A4" workbookViewId="0">
      <selection sqref="A1:H11"/>
    </sheetView>
  </sheetViews>
  <sheetFormatPr defaultRowHeight="16.5"/>
  <cols>
    <col min="1" max="2" width="9" style="48"/>
    <col min="3" max="3" width="15.25" style="48" bestFit="1" customWidth="1"/>
    <col min="4" max="4" width="14" style="48" bestFit="1" customWidth="1"/>
    <col min="5" max="5" width="9.5" style="48" bestFit="1" customWidth="1"/>
    <col min="6" max="6" width="14" style="48" bestFit="1" customWidth="1"/>
    <col min="7" max="7" width="10.5" style="48" bestFit="1" customWidth="1"/>
    <col min="8" max="8" width="14.125" style="48" bestFit="1" customWidth="1"/>
    <col min="9" max="16384" width="9" style="48"/>
  </cols>
  <sheetData>
    <row r="1" spans="1:8">
      <c r="A1" s="38" t="s">
        <v>748</v>
      </c>
      <c r="B1" s="38" t="s">
        <v>297</v>
      </c>
      <c r="C1" s="38" t="s">
        <v>749</v>
      </c>
      <c r="D1" s="38" t="s">
        <v>750</v>
      </c>
      <c r="E1" s="38" t="s">
        <v>751</v>
      </c>
      <c r="F1" s="38" t="s">
        <v>752</v>
      </c>
      <c r="G1" s="38" t="s">
        <v>753</v>
      </c>
      <c r="H1" s="38" t="s">
        <v>754</v>
      </c>
    </row>
    <row r="2" spans="1:8">
      <c r="A2" s="46">
        <v>70001</v>
      </c>
      <c r="B2" s="46">
        <v>70001</v>
      </c>
      <c r="C2" s="46">
        <v>0</v>
      </c>
      <c r="D2" s="46">
        <v>1000</v>
      </c>
      <c r="E2" s="46">
        <v>1000</v>
      </c>
      <c r="F2" s="46">
        <v>0</v>
      </c>
      <c r="G2" s="46">
        <v>0</v>
      </c>
      <c r="H2" s="46">
        <v>5</v>
      </c>
    </row>
    <row r="3" spans="1:8">
      <c r="A3" s="46">
        <v>70002</v>
      </c>
      <c r="B3" s="46">
        <v>70002</v>
      </c>
      <c r="C3" s="46">
        <v>70001</v>
      </c>
      <c r="D3" s="46">
        <v>2000</v>
      </c>
      <c r="E3" s="46">
        <v>2000</v>
      </c>
      <c r="F3" s="46">
        <v>0</v>
      </c>
      <c r="G3" s="46">
        <v>0</v>
      </c>
      <c r="H3" s="46">
        <v>6</v>
      </c>
    </row>
    <row r="4" spans="1:8">
      <c r="A4" s="46">
        <v>70003</v>
      </c>
      <c r="B4" s="46">
        <v>70003</v>
      </c>
      <c r="C4" s="46">
        <v>70002</v>
      </c>
      <c r="D4" s="46">
        <v>3000</v>
      </c>
      <c r="E4" s="46">
        <v>3000</v>
      </c>
      <c r="F4" s="46">
        <v>0</v>
      </c>
      <c r="G4" s="46">
        <v>0</v>
      </c>
      <c r="H4" s="46">
        <v>7</v>
      </c>
    </row>
    <row r="5" spans="1:8">
      <c r="A5" s="46">
        <v>70004</v>
      </c>
      <c r="B5" s="46">
        <v>70004</v>
      </c>
      <c r="C5" s="46">
        <v>70003</v>
      </c>
      <c r="D5" s="46">
        <v>4000</v>
      </c>
      <c r="E5" s="46">
        <v>4000</v>
      </c>
      <c r="F5" s="46">
        <v>0</v>
      </c>
      <c r="G5" s="46">
        <v>0</v>
      </c>
      <c r="H5" s="46">
        <v>8</v>
      </c>
    </row>
    <row r="6" spans="1:8">
      <c r="A6" s="46">
        <v>70005</v>
      </c>
      <c r="B6" s="46">
        <v>70005</v>
      </c>
      <c r="C6" s="46">
        <v>70004</v>
      </c>
      <c r="D6" s="46">
        <v>5000</v>
      </c>
      <c r="E6" s="46">
        <v>5000</v>
      </c>
      <c r="F6" s="46">
        <v>0</v>
      </c>
      <c r="G6" s="46">
        <v>0</v>
      </c>
      <c r="H6" s="46">
        <v>9</v>
      </c>
    </row>
    <row r="7" spans="1:8">
      <c r="A7" s="46">
        <v>70006</v>
      </c>
      <c r="B7" s="46">
        <v>70006</v>
      </c>
      <c r="C7" s="46">
        <v>70005</v>
      </c>
      <c r="D7" s="46">
        <v>6000</v>
      </c>
      <c r="E7" s="46">
        <v>6000</v>
      </c>
      <c r="F7" s="46">
        <v>0</v>
      </c>
      <c r="G7" s="46">
        <v>0</v>
      </c>
      <c r="H7" s="46">
        <v>10</v>
      </c>
    </row>
    <row r="8" spans="1:8">
      <c r="A8" s="46">
        <v>70007</v>
      </c>
      <c r="B8" s="46">
        <v>70007</v>
      </c>
      <c r="C8" s="46">
        <v>70006</v>
      </c>
      <c r="D8" s="46">
        <v>7000</v>
      </c>
      <c r="E8" s="46">
        <v>7000</v>
      </c>
      <c r="F8" s="46">
        <v>0</v>
      </c>
      <c r="G8" s="46">
        <v>0</v>
      </c>
      <c r="H8" s="46">
        <v>11</v>
      </c>
    </row>
    <row r="9" spans="1:8">
      <c r="A9" s="46">
        <v>70008</v>
      </c>
      <c r="B9" s="46">
        <v>70008</v>
      </c>
      <c r="C9" s="46">
        <v>70007</v>
      </c>
      <c r="D9" s="46">
        <v>8000</v>
      </c>
      <c r="E9" s="46">
        <v>8000</v>
      </c>
      <c r="F9" s="46">
        <v>0</v>
      </c>
      <c r="G9" s="46">
        <v>0</v>
      </c>
      <c r="H9" s="46">
        <v>12</v>
      </c>
    </row>
    <row r="10" spans="1:8">
      <c r="A10" s="46">
        <v>70009</v>
      </c>
      <c r="B10" s="46">
        <v>70009</v>
      </c>
      <c r="C10" s="46">
        <v>70008</v>
      </c>
      <c r="D10" s="46">
        <v>9000</v>
      </c>
      <c r="E10" s="46">
        <v>9000</v>
      </c>
      <c r="F10" s="46">
        <v>0</v>
      </c>
      <c r="G10" s="46">
        <v>0</v>
      </c>
      <c r="H10" s="46">
        <v>13</v>
      </c>
    </row>
    <row r="11" spans="1:8">
      <c r="A11" s="46">
        <v>70010</v>
      </c>
      <c r="B11" s="46">
        <v>70010</v>
      </c>
      <c r="C11" s="46">
        <v>70009</v>
      </c>
      <c r="D11" s="46">
        <v>10000</v>
      </c>
      <c r="E11" s="46">
        <v>10000</v>
      </c>
      <c r="F11" s="46">
        <v>0</v>
      </c>
      <c r="G11" s="46">
        <v>0</v>
      </c>
      <c r="H11" s="46">
        <v>14</v>
      </c>
    </row>
  </sheetData>
  <phoneticPr fontId="3" type="noConversion"/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45</vt:i4>
      </vt:variant>
    </vt:vector>
  </HeadingPairs>
  <TitlesOfParts>
    <vt:vector size="45" baseType="lpstr">
      <vt:lpstr>toTXT</vt:lpstr>
      <vt:lpstr>UID규칙</vt:lpstr>
      <vt:lpstr>메모_SnHero_default</vt:lpstr>
      <vt:lpstr>DataFileList</vt:lpstr>
      <vt:lpstr>Data enum</vt:lpstr>
      <vt:lpstr>Config</vt:lpstr>
      <vt:lpstr>userdata_preset</vt:lpstr>
      <vt:lpstr>start_user_building</vt:lpstr>
      <vt:lpstr>league_point_basic</vt:lpstr>
      <vt:lpstr>league_point_tier</vt:lpstr>
      <vt:lpstr>league_point_wincount_weight</vt:lpstr>
      <vt:lpstr>league_point_winratio_weight</vt:lpstr>
      <vt:lpstr>max_pillageable_resource</vt:lpstr>
      <vt:lpstr>pillageable_resource_penalty</vt:lpstr>
      <vt:lpstr>exp</vt:lpstr>
      <vt:lpstr>time_exchange</vt:lpstr>
      <vt:lpstr>ame_exchange</vt:lpstr>
      <vt:lpstr>acid_exchange</vt:lpstr>
      <vt:lpstr>aqua_exchange</vt:lpstr>
      <vt:lpstr>darkmatter_exchange</vt:lpstr>
      <vt:lpstr>shop_building</vt:lpstr>
      <vt:lpstr>shop_recharge_resource</vt:lpstr>
      <vt:lpstr>shop_recharge_topaz</vt:lpstr>
      <vt:lpstr>boost_setting</vt:lpstr>
      <vt:lpstr>boost_recharger</vt:lpstr>
      <vt:lpstr>avatar_parts_promotion</vt:lpstr>
      <vt:lpstr>avatar_parts_arm</vt:lpstr>
      <vt:lpstr>avatar_parts_circuit</vt:lpstr>
      <vt:lpstr>avatar_parts_hbody</vt:lpstr>
      <vt:lpstr>avatar_parts_leg</vt:lpstr>
      <vt:lpstr>avatar_bullet</vt:lpstr>
      <vt:lpstr>avatar_ui_gauge_max</vt:lpstr>
      <vt:lpstr>building_maxquantity</vt:lpstr>
      <vt:lpstr>building_normal</vt:lpstr>
      <vt:lpstr>building_defence</vt:lpstr>
      <vt:lpstr>building_defence_bullet</vt:lpstr>
      <vt:lpstr>building_defence_mode_change</vt:lpstr>
      <vt:lpstr>unit_basic</vt:lpstr>
      <vt:lpstr>unit_grow_up</vt:lpstr>
      <vt:lpstr>upgrade_cost</vt:lpstr>
      <vt:lpstr>support_weapon_basic</vt:lpstr>
      <vt:lpstr>support_weapon_grow_up</vt:lpstr>
      <vt:lpstr>explore</vt:lpstr>
      <vt:lpstr>single_stage_building</vt:lpstr>
      <vt:lpstr>single_stage_setting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민준홍</dc:creator>
  <cp:lastModifiedBy>USER</cp:lastModifiedBy>
  <cp:lastPrinted>2012-08-22T08:23:52Z</cp:lastPrinted>
  <dcterms:created xsi:type="dcterms:W3CDTF">2012-05-02T06:19:22Z</dcterms:created>
  <dcterms:modified xsi:type="dcterms:W3CDTF">2017-11-22T06:31:55Z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2c9c100d-57b1-47ca-95ec-1d59b5401d1a</vt:lpwstr>
  </property>
</Properties>
</file>